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SKU Catalog" sheetId="3" state="visible" r:id="rId5"/>
    <sheet name="Tier Economics" sheetId="4" state="visible" r:id="rId6"/>
    <sheet name="Rollover Schedule" sheetId="5" state="visible" r:id="rId7"/>
    <sheet name="Portfolio Model" sheetId="6" state="visible" r:id="rId8"/>
    <sheet name="AT&amp;T 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<sst xmlns="http://schemas.openxmlformats.org/spreadsheetml/2006/main" count="217" uniqueCount="193">
  <si>
    <t xml:space="preserve">TCL Tech Solutions  —  Component Upgrade Membership Model</t>
  </si>
  <si>
    <t xml:space="preserve">Subscription-based annual upgrade program  |  Prepared for Damon Jackson, CEO  |  Brainstorm working model</t>
  </si>
  <si>
    <t xml:space="preserve">PURPOSE</t>
  </si>
  <si>
    <t xml:space="preserve">A financial model to stress-test a recurring monthly membership that lets clients accrue credit toward annual</t>
  </si>
  <si>
    <t xml:space="preserve">component upgrades — analogous to AT&amp;T's device upgrade program, adapted to custom home-automation hardware.</t>
  </si>
  <si>
    <t xml:space="preserve">THE GOVERNING RULE</t>
  </si>
  <si>
    <t xml:space="preserve">Credit granted is a discount off MSRP. Customer out-of-pocket = MSRP - Credit.</t>
  </si>
  <si>
    <t xml:space="preserve">To never sell below cost:   Maximum Credit  =  MSRP - Dealer Cost  =  the SPREAD.</t>
  </si>
  <si>
    <t xml:space="preserve">The program only works on HIGH-SPREAD inventory (50-point gear). It is a spread-harvesting engine, not a discount.</t>
  </si>
  <si>
    <t xml:space="preserve">HOW TO USE</t>
  </si>
  <si>
    <t xml:space="preserve">1. Assumptions  — set the membership tiers, bonus %, and rollover rules (blue cells = your inputs).</t>
  </si>
  <si>
    <t xml:space="preserve">2. SKU Catalog  — enter each component's dealer cost and MSRP; the sheet computes spread and the safe credit cap.</t>
  </si>
  <si>
    <t xml:space="preserve">3. Tier Economics — pick a tier; see customer cost vs. TCL profit for every SKU, with a viability flag.</t>
  </si>
  <si>
    <t xml:space="preserve">4. Rollover Schedule — shows year-over-year credit accrual and the anti-banking cap.</t>
  </si>
  <si>
    <t xml:space="preserve">5. Portfolio Model — scales it: customer base x upgrade frequency = recurring revenue and net profit.</t>
  </si>
  <si>
    <t xml:space="preserve">COLOR KEY</t>
  </si>
  <si>
    <t xml:space="preserve">Blue text = input you can change.    Black text = formula.    Green text = pulled from another sheet.</t>
  </si>
  <si>
    <t xml:space="preserve">Yellow fill = key assumption to review.</t>
  </si>
  <si>
    <t xml:space="preserve">NOTE ON CUSTOMER VALUE</t>
  </si>
  <si>
    <t xml:space="preserve">Netted against subscription paid, real dollar savings are modest. The product sells CADENCE &amp; CONVENIENCE —</t>
  </si>
  <si>
    <t xml:space="preserve">always-current technology with no $3,000-$4,000 lump sum. Anchor all marketing to MSRP and membership perks.</t>
  </si>
  <si>
    <t xml:space="preserve">Assumptions &amp; Drivers</t>
  </si>
  <si>
    <t xml:space="preserve">Blue cells are inputs. Adjust here and the whole model updates.</t>
  </si>
  <si>
    <t xml:space="preserve">Program-Wide Drivers</t>
  </si>
  <si>
    <t xml:space="preserve">Driver</t>
  </si>
  <si>
    <t xml:space="preserve">Value</t>
  </si>
  <si>
    <t xml:space="preserve">Notes</t>
  </si>
  <si>
    <t xml:space="preserve">Credit bonus over subscription paid</t>
  </si>
  <si>
    <t xml:space="preserve">Year-1 credit = annual subscription x (1 + this). Damon's target: $480 paid -&gt; $600 credit.</t>
  </si>
  <si>
    <t xml:space="preserve">Annual rollover bonus (if unused)</t>
  </si>
  <si>
    <t xml:space="preserve">Added each year credit goes unredeemed, to show ongoing value.</t>
  </si>
  <si>
    <t xml:space="preserve">Rollover cap (x year-1 credit)</t>
  </si>
  <si>
    <t xml:space="preserve">Max accruable credit, to prevent customers banking for a margin-killing redemption.</t>
  </si>
  <si>
    <t xml:space="preserve">Recommended credit as % of spread</t>
  </si>
  <si>
    <t xml:space="preserve">Safety governor: keep credit below the full spread to retain hardware margin.</t>
  </si>
  <si>
    <t xml:space="preserve">Programming labor rate ($/hour)</t>
  </si>
  <si>
    <t xml:space="preserve">Used for the programming membership tier.</t>
  </si>
  <si>
    <t xml:space="preserve">Membership Tiers</t>
  </si>
  <si>
    <t xml:space="preserve">Tier</t>
  </si>
  <si>
    <t xml:space="preserve">Monthly ($)</t>
  </si>
  <si>
    <t xml:space="preserve">Annual Paid ($)</t>
  </si>
  <si>
    <t xml:space="preserve">Year-1 Credit ($)</t>
  </si>
  <si>
    <t xml:space="preserve">Effective Bonus</t>
  </si>
  <si>
    <t xml:space="preserve">Target Spread (min)</t>
  </si>
  <si>
    <t xml:space="preserve">Tier 1 - Standard</t>
  </si>
  <si>
    <t xml:space="preserve">Tier 2 - Plus</t>
  </si>
  <si>
    <t xml:space="preserve">Tier 3 - Premium</t>
  </si>
  <si>
    <t xml:space="preserve">Programming</t>
  </si>
  <si>
    <t xml:space="preserve">Programming tier delivers labor, not hardware: $25/mo = $300/yr collected -&gt; 2 hrs free programming ($240 value at $120/hr).</t>
  </si>
  <si>
    <t xml:space="preserve">SKU Catalog — Spread Analysis</t>
  </si>
  <si>
    <t xml:space="preserve">Enter dealer cost and MSRP (blue). Spread, margin, and the safe credit cap calculate automatically.</t>
  </si>
  <si>
    <t xml:space="preserve">Components  (18-item inventory)</t>
  </si>
  <si>
    <t xml:space="preserve">Component</t>
  </si>
  <si>
    <t xml:space="preserve">Dealer Cost ($)</t>
  </si>
  <si>
    <t xml:space="preserve">MSRP ($)</t>
  </si>
  <si>
    <t xml:space="preserve">Spread ($)</t>
  </si>
  <si>
    <t xml:space="preserve">Spread (points %)</t>
  </si>
  <si>
    <t xml:space="preserve">Max Credit = Spread ($)</t>
  </si>
  <si>
    <t xml:space="preserve">Recommended Credit ($)</t>
  </si>
  <si>
    <t xml:space="preserve">Program Fit</t>
  </si>
  <si>
    <t xml:space="preserve">Basis</t>
  </si>
  <si>
    <t xml:space="preserve">URC cinema remote</t>
  </si>
  <si>
    <t xml:space="preserve">Actual</t>
  </si>
  <si>
    <t xml:space="preserve">Bookshelf speakers (pair)</t>
  </si>
  <si>
    <t xml:space="preserve">Marantz pre-amp</t>
  </si>
  <si>
    <t xml:space="preserve">Denon AV receiver</t>
  </si>
  <si>
    <t xml:space="preserve">Estimate</t>
  </si>
  <si>
    <t xml:space="preserve">URC total-control processor</t>
  </si>
  <si>
    <t xml:space="preserve">In-ceiling speakers (pair)</t>
  </si>
  <si>
    <t xml:space="preserve">Outdoor speakers (pair)</t>
  </si>
  <si>
    <t xml:space="preserve">Powered subwoofer</t>
  </si>
  <si>
    <t xml:space="preserve">4K home-theater projector</t>
  </si>
  <si>
    <t xml:space="preserve">Motorized projector screen</t>
  </si>
  <si>
    <t xml:space="preserve">Multi-zone amplifier (8-ch)</t>
  </si>
  <si>
    <t xml:space="preserve">Network video recorder (NVR)</t>
  </si>
  <si>
    <t xml:space="preserve">4K security camera (each)</t>
  </si>
  <si>
    <t xml:space="preserve">WiFi-6 access point</t>
  </si>
  <si>
    <t xml:space="preserve">Managed switch (24-port)</t>
  </si>
  <si>
    <t xml:space="preserve">Smart-lighting hub</t>
  </si>
  <si>
    <t xml:space="preserve">Motorized shades (per window)</t>
  </si>
  <si>
    <t xml:space="preserve">Touchscreen wall controller 10"</t>
  </si>
  <si>
    <t xml:space="preserve">Rule of thumb: STRONG = 50+ points of spread (ideal program inventory). POOR = thin margin; a full credit drives hardware profit to zero.</t>
  </si>
  <si>
    <t xml:space="preserve">Rows marked 'Estimate' use placeholder pricing - overwrite the blue Dealer Cost and MSRP cells with TCL's actual dealer pricing.</t>
  </si>
  <si>
    <t xml:space="preserve">Tier Economics — Customer vs. TCL</t>
  </si>
  <si>
    <t xml:space="preserve">Choose a tier; see what the customer pays and what TCL earns on each component in year one.</t>
  </si>
  <si>
    <t xml:space="preserve">Select Membership Tier</t>
  </si>
  <si>
    <t xml:space="preserve">Tier:</t>
  </si>
  <si>
    <t xml:space="preserve">Monthly:</t>
  </si>
  <si>
    <t xml:space="preserve">Annual paid:</t>
  </si>
  <si>
    <t xml:space="preserve">Yr-1 credit:</t>
  </si>
  <si>
    <t xml:space="preserve">Year-One Economics by Component</t>
  </si>
  <si>
    <t xml:space="preserve">MSRP</t>
  </si>
  <si>
    <t xml:space="preserve">Dealer Cost</t>
  </si>
  <si>
    <t xml:space="preserve">Credit Applied</t>
  </si>
  <si>
    <t xml:space="preserve">Customer Out-of-Pocket</t>
  </si>
  <si>
    <t xml:space="preserve">Customer Total (sub+OOP)</t>
  </si>
  <si>
    <t xml:space="preserve">Savings vs MSRP</t>
  </si>
  <si>
    <t xml:space="preserve">TCL Profit (sub+margin)</t>
  </si>
  <si>
    <t xml:space="preserve">Viable?</t>
  </si>
  <si>
    <t xml:space="preserve">Credit Applied is automatically capped at the component's spread so TCL never sells below dealer cost. 'CHECK' flags a money-losing or no-value redemption.</t>
  </si>
  <si>
    <t xml:space="preserve">Reality check: 'Savings vs MSRP' nets out subscription paid. Modest dollar savings is expected — the value sold is upgrade cadence and convenience.</t>
  </si>
  <si>
    <t xml:space="preserve">Rollover Schedule — Anti-Banking Mechanic</t>
  </si>
  <si>
    <t xml:space="preserve">If a member does not redeem, credit grows at the rollover bonus, capped to protect margin.</t>
  </si>
  <si>
    <t xml:space="preserve">Select Tier</t>
  </si>
  <si>
    <t xml:space="preserve">5-Year Credit Accrual (if never redeemed)</t>
  </si>
  <si>
    <t xml:space="preserve">Year</t>
  </si>
  <si>
    <t xml:space="preserve">Cumulative Subscription Paid</t>
  </si>
  <si>
    <t xml:space="preserve">Raw Accrued (uncapped)</t>
  </si>
  <si>
    <t xml:space="preserve">Rollover Cap</t>
  </si>
  <si>
    <t xml:space="preserve">Available Credit (capped)</t>
  </si>
  <si>
    <t xml:space="preserve">Credit as % of Paid</t>
  </si>
  <si>
    <t xml:space="preserve">Member-Visible Value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</si>
  <si>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</si>
  <si>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</si>
  <si>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</si>
  <si>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</si>
  <si>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</si>
  <si>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The cap is the key defense: a member cannot bank indefinitely and then extract TCL's entire spread on one premium redemption.</t>
  </si>
  <si>
    <t xml:space="preserve">Portfolio Model — Scale Economics</t>
  </si>
  <si>
    <t xml:space="preserve">The real engine: a large base x low redemption frequency. Blue cells are inputs.</t>
  </si>
  <si>
    <t xml:space="preserve">Base Assumptions</t>
  </si>
  <si>
    <t xml:space="preserve">Total members enrolled</t>
  </si>
  <si>
    <t xml:space="preserve">Avg monthly fee (blended) ($)</t>
  </si>
  <si>
    <t xml:space="preserve">Avg upgrade frequency (every N years)</t>
  </si>
  <si>
    <t xml:space="preserve">Avg credit redeemed per upgrade ($)</t>
  </si>
  <si>
    <t xml:space="preserve">Avg hardware margin retained per upgrade ($)</t>
  </si>
  <si>
    <t xml:space="preserve">Avg servicing cost per member / year ($)</t>
  </si>
  <si>
    <t xml:space="preserve">Annual Results</t>
  </si>
  <si>
    <t xml:space="preserve">Metric</t>
  </si>
  <si>
    <t xml:space="preserve">Recurring subscription revenue / year</t>
  </si>
  <si>
    <t xml:space="preserve">Members x monthly x 12. The recurring float.</t>
  </si>
  <si>
    <t xml:space="preserve">Upgrades redeemed / year</t>
  </si>
  <si>
    <t xml:space="preserve">Members divided by upgrade frequency.</t>
  </si>
  <si>
    <t xml:space="preserve">Hardware margin from upgrades / year</t>
  </si>
  <si>
    <t xml:space="preserve">Redemptions x retained hardware margin.</t>
  </si>
  <si>
    <t xml:space="preserve">Servicing cost / year</t>
  </si>
  <si>
    <t xml:space="preserve">Members x servicing cost.</t>
  </si>
  <si>
    <t xml:space="preserve">NET ANNUAL PROFIT</t>
  </si>
  <si>
    <t xml:space="preserve">Subscription + hardware margin - servicing.</t>
  </si>
  <si>
    <t xml:space="preserve">Net profit per member / year</t>
  </si>
  <si>
    <t xml:space="preserve">Net annual profit / members.</t>
  </si>
  <si>
    <t xml:space="preserve">Effective program margin</t>
  </si>
  <si>
    <t xml:space="preserve">Net profit / subscription revenue.</t>
  </si>
  <si>
    <t xml:space="preserve">Sensitivity — Net Profit vs. Upgrade Frequency</t>
  </si>
  <si>
    <t xml:space="preserve">Upgrade every (yrs)</t>
  </si>
  <si>
    <t xml:space="preserve">Net Annual Profit</t>
  </si>
  <si>
    <t xml:space="preserve">Per Member</t>
  </si>
  <si>
    <t xml:space="preserve">Insight: profit is dominated by the subscription float and is remarkably insensitive to upgrade frequency, because each redemption still retains a small hardware margin. Volume of members is the lever.</t>
  </si>
  <si>
    <t xml:space="preserve">Side-by-Side — AT&amp;T Upgrade Program vs. TCL Membership</t>
  </si>
  <si>
    <t xml:space="preserve">Structural comparison of the two recurring-upgrade models. AT&amp;T terms verified May 2026 (att.com).</t>
  </si>
  <si>
    <t xml:space="preserve">Program Mechanics</t>
  </si>
  <si>
    <t xml:space="preserve">Dimension</t>
  </si>
  <si>
    <t xml:space="preserve">AT&amp;T Next Up Anytime</t>
  </si>
  <si>
    <t xml:space="preserve">TCL Tech Solutions Program</t>
  </si>
  <si>
    <t xml:space="preserve">Implication for TCL</t>
  </si>
  <si>
    <t xml:space="preserve">Monthly fee</t>
  </si>
  <si>
    <t xml:space="preserve">$10 / month</t>
  </si>
  <si>
    <t xml:space="preserve">$40-$100 / month (tiered)</t>
  </si>
  <si>
    <t xml:space="preserve">TCL fee is far higher because the underlying assets ($900-$4,000) dwarf a phone.</t>
  </si>
  <si>
    <t xml:space="preserve">What the fee buys</t>
  </si>
  <si>
    <t xml:space="preserve">Upgrade eligibility only</t>
  </si>
  <si>
    <t xml:space="preserve">Accruing credit toward components</t>
  </si>
  <si>
    <t xml:space="preserve">TCL's accruing credit is a genuine differentiator AT&amp;T does not offer.</t>
  </si>
  <si>
    <t xml:space="preserve">Credit accrual</t>
  </si>
  <si>
    <t xml:space="preserve">None - fee is not applied to balance</t>
  </si>
  <si>
    <t xml:space="preserve">Yes - rolls forward, capped</t>
  </si>
  <si>
    <t xml:space="preserve">Answers the exact question Damon flagged: 'does my money accumulate?' Yes, with a cap.</t>
  </si>
  <si>
    <t xml:space="preserve">Upgrade cadence</t>
  </si>
  <si>
    <t xml:space="preserve">Up to 3 per 12 months, anytime after 50% paid</t>
  </si>
  <si>
    <t xml:space="preserve">Annual, tier-defined (not anytime)</t>
  </si>
  <si>
    <t xml:space="preserve">Annual cadence protects margin and matches slow AV refresh cycles.</t>
  </si>
  <si>
    <t xml:space="preserve">Old asset</t>
  </si>
  <si>
    <t xml:space="preserve">Must trade in device to waive balance</t>
  </si>
  <si>
    <t xml:space="preserve">Customer keeps / TCL may resell</t>
  </si>
  <si>
    <t xml:space="preserve">Potential second margin: refurbish-and-resell trade-ins.</t>
  </si>
  <si>
    <t xml:space="preserve">Profit engine</t>
  </si>
  <si>
    <t xml:space="preserve">Volume + financing + service add-ons</t>
  </si>
  <si>
    <t xml:space="preserve">Spread + low redemption freq. + float</t>
  </si>
  <si>
    <t xml:space="preserve">Identical logic: large base, infrequent use. Member volume is the lever.</t>
  </si>
  <si>
    <t xml:space="preserve">Underlying unit cost</t>
  </si>
  <si>
    <t xml:space="preserve">~$2,000 carrier cost / phone (volume)</t>
  </si>
  <si>
    <t xml:space="preserve">$120-$2,800 dealer cost / component</t>
  </si>
  <si>
    <t xml:space="preserve">TCL gets the same kind of dealer volume discount AT&amp;T gets on phones.</t>
  </si>
  <si>
    <t xml:space="preserve">Lock-in</t>
  </si>
  <si>
    <t xml:space="preserve">Installment plan + trade-in dependency</t>
  </si>
  <si>
    <t xml:space="preserve">Recurring membership + installed base</t>
  </si>
  <si>
    <t xml:space="preserve">Already-installed system creates natural retention; lean into service bundling.</t>
  </si>
  <si>
    <t xml:space="preserve">Cancel terms</t>
  </si>
  <si>
    <t xml:space="preserve">Cancel anytime; re-enroll within 30 days</t>
  </si>
  <si>
    <t xml:space="preserve">Recommend: forfeit unredeemed credit on cancel</t>
  </si>
  <si>
    <t xml:space="preserve">Forfeiture-on-cancel discourages churn-after-redemption gaming.</t>
  </si>
  <si>
    <t xml:space="preserve">Takeaway: copy AT&amp;T's float-and-volume profit engine, but beat them on the feature their customers wish they had - credit that actually accumulates.</t>
  </si>
  <si>
    <t xml:space="preserve">Source: AT&amp;T Next Up Anytime, att.com/plans/next-up-anytime, verified May 2026.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</si>
</sst>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\$#,##0;&quot;($&quot;#,##0\);\-"/>
    <numFmt numFmtId="167" formatCode="0.0\x"/>
    <numFmt numFmtId="168" formatCode="#,##0;\(#,##0\);\-"/>
    <numFmt numFmtId="169" formatCode="0.0"/>
    <numFmt numFmtId="170" formatCode="#,##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1E7145"/>
      <name val="Arial"/>
      <family val="0"/>
      <charset val="1"/>
    </font>
    <font>
      <i val="true"/>
      <sz val="9"/>
      <color rgb="FFBF8F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i val="true"/>
      <sz val="8"/>
      <color rgb="FF7F7F7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E7145"/>
        <sz val="1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CE4E4"/>
        </patternFill>
      </fill>
    </dxf>
    <dxf>
      <font>
        <name val="Arial"/>
        <charset val="1"/>
        <family val="0"/>
        <color rgb="FFC00000"/>
        <sz val="10"/>
      </font>
      <fill>
        <patternFill>
          <bgColor rgb="FFFCE4E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1E7145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B6" s="4" t="s">
        <v>3</v>
      </c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B7" s="4" t="s">
        <v>4</v>
      </c>
      <c r="C7" s="4"/>
      <c r="D7" s="4"/>
      <c r="E7" s="4"/>
      <c r="F7" s="4"/>
      <c r="G7" s="4"/>
      <c r="H7" s="4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B10" s="4" t="s">
        <v>6</v>
      </c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B11" s="4" t="s">
        <v>7</v>
      </c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B12" s="4" t="s">
        <v>8</v>
      </c>
      <c r="C12" s="4"/>
      <c r="D12" s="4"/>
      <c r="E12" s="4"/>
      <c r="F12" s="4"/>
      <c r="G12" s="4"/>
      <c r="H12" s="4"/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B15" s="4" t="s">
        <v>10</v>
      </c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B16" s="4" t="s">
        <v>11</v>
      </c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B17" s="4" t="s">
        <v>12</v>
      </c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B18" s="4" t="s">
        <v>13</v>
      </c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B19" s="4" t="s">
        <v>14</v>
      </c>
      <c r="C19" s="4"/>
      <c r="D19" s="4"/>
      <c r="E19" s="4"/>
      <c r="F19" s="4"/>
      <c r="G19" s="4"/>
      <c r="H19" s="4"/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B22" s="4" t="s">
        <v>16</v>
      </c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B23" s="4" t="s">
        <v>17</v>
      </c>
      <c r="C23" s="4"/>
      <c r="D23" s="4"/>
      <c r="E23" s="4"/>
      <c r="F23" s="4"/>
      <c r="G23" s="4"/>
      <c r="H23" s="4"/>
    </row>
    <row r="25" customFormat="false" ht="15" hidden="false" customHeight="false" outlineLevel="0" collapsed="false">
      <c r="A25" s="3" t="s">
        <v>18</v>
      </c>
    </row>
    <row r="26" customFormat="false" ht="15" hidden="false" customHeight="false" outlineLevel="0" collapsed="false">
      <c r="B26" s="4" t="s">
        <v>19</v>
      </c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B27" s="4" t="s">
        <v>20</v>
      </c>
      <c r="C27" s="4"/>
      <c r="D27" s="4"/>
      <c r="E27" s="4"/>
      <c r="F27" s="4"/>
      <c r="G27" s="4"/>
      <c r="H27" s="4"/>
    </row>
  </sheetData>
  <mergeCells count="16">
    <mergeCell ref="A1:H1"/>
    <mergeCell ref="A2:H2"/>
    <mergeCell ref="B6:H6"/>
    <mergeCell ref="B7:H7"/>
    <mergeCell ref="B10:H10"/>
    <mergeCell ref="B11:H11"/>
    <mergeCell ref="B12:H12"/>
    <mergeCell ref="B15:H15"/>
    <mergeCell ref="B16:H16"/>
    <mergeCell ref="B17:H17"/>
    <mergeCell ref="B18:H18"/>
    <mergeCell ref="B19:H19"/>
    <mergeCell ref="B22:H22"/>
    <mergeCell ref="B23:H23"/>
    <mergeCell ref="B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7"/>
  </cols>
  <sheetData>
    <row r="1" customFormat="false" ht="27.75" hidden="false" customHeight="true" outlineLevel="0" collapsed="false">
      <c r="A1" s="1" t="s">
        <v>21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22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5" t="s">
        <v>23</v>
      </c>
      <c r="B4" s="5"/>
      <c r="C4" s="5"/>
      <c r="D4" s="5"/>
      <c r="E4" s="5"/>
      <c r="F4" s="5"/>
    </row>
    <row r="5" customFormat="false" ht="15" hidden="false" customHeight="false" outlineLevel="0" collapsed="false">
      <c r="A5" s="6" t="s">
        <v>24</v>
      </c>
      <c r="B5" s="7" t="s">
        <v>25</v>
      </c>
      <c r="C5" s="8" t="s">
        <v>26</v>
      </c>
      <c r="D5" s="8"/>
      <c r="E5" s="8"/>
      <c r="F5" s="8"/>
    </row>
    <row r="6" customFormat="false" ht="25.5" hidden="false" customHeight="true" outlineLevel="0" collapsed="false">
      <c r="A6" s="9" t="s">
        <v>27</v>
      </c>
      <c r="B6" s="10" t="n">
        <v>0.25</v>
      </c>
      <c r="C6" s="11" t="s">
        <v>28</v>
      </c>
      <c r="D6" s="11"/>
      <c r="E6" s="11"/>
      <c r="F6" s="11"/>
    </row>
    <row r="7" customFormat="false" ht="25.5" hidden="false" customHeight="true" outlineLevel="0" collapsed="false">
      <c r="A7" s="9" t="s">
        <v>29</v>
      </c>
      <c r="B7" s="12" t="n">
        <v>300</v>
      </c>
      <c r="C7" s="11" t="s">
        <v>30</v>
      </c>
      <c r="D7" s="11"/>
      <c r="E7" s="11"/>
      <c r="F7" s="11"/>
    </row>
    <row r="8" customFormat="false" ht="25.5" hidden="false" customHeight="true" outlineLevel="0" collapsed="false">
      <c r="A8" s="9" t="s">
        <v>31</v>
      </c>
      <c r="B8" s="13" t="n">
        <v>2</v>
      </c>
      <c r="C8" s="11" t="s">
        <v>32</v>
      </c>
      <c r="D8" s="11"/>
      <c r="E8" s="11"/>
      <c r="F8" s="11"/>
    </row>
    <row r="9" customFormat="false" ht="25.5" hidden="false" customHeight="true" outlineLevel="0" collapsed="false">
      <c r="A9" s="9" t="s">
        <v>33</v>
      </c>
      <c r="B9" s="10" t="n">
        <v>0.75</v>
      </c>
      <c r="C9" s="11" t="s">
        <v>34</v>
      </c>
      <c r="D9" s="11"/>
      <c r="E9" s="11"/>
      <c r="F9" s="11"/>
    </row>
    <row r="10" customFormat="false" ht="25.5" hidden="false" customHeight="true" outlineLevel="0" collapsed="false">
      <c r="A10" s="9" t="s">
        <v>35</v>
      </c>
      <c r="B10" s="12" t="n">
        <v>120</v>
      </c>
      <c r="C10" s="11" t="s">
        <v>36</v>
      </c>
      <c r="D10" s="11"/>
      <c r="E10" s="11"/>
      <c r="F10" s="11"/>
    </row>
    <row r="12" customFormat="false" ht="19.5" hidden="false" customHeight="true" outlineLevel="0" collapsed="false">
      <c r="A12" s="5" t="s">
        <v>37</v>
      </c>
      <c r="B12" s="5"/>
      <c r="C12" s="5"/>
      <c r="D12" s="5"/>
      <c r="E12" s="5"/>
      <c r="F12" s="5"/>
    </row>
    <row r="13" customFormat="false" ht="27.75" hidden="false" customHeight="true" outlineLevel="0" collapsed="false">
      <c r="A13" s="14" t="s">
        <v>38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</row>
    <row r="14" customFormat="false" ht="15" hidden="false" customHeight="false" outlineLevel="0" collapsed="false">
      <c r="A14" s="15" t="s">
        <v>44</v>
      </c>
      <c r="B14" s="12" t="n">
        <v>40</v>
      </c>
      <c r="C14" s="16" t="n">
        <f aca="false">B14*12</f>
        <v>480</v>
      </c>
      <c r="D14" s="16" t="n">
        <f aca="false">C14*(1+$B$6)</f>
        <v>600</v>
      </c>
      <c r="E14" s="17" t="n">
        <f aca="false">D14/C14-1</f>
        <v>0.25</v>
      </c>
      <c r="F14" s="16" t="n">
        <f aca="false">D14/$B$9</f>
        <v>800</v>
      </c>
    </row>
    <row r="15" customFormat="false" ht="15" hidden="false" customHeight="false" outlineLevel="0" collapsed="false">
      <c r="A15" s="15" t="s">
        <v>45</v>
      </c>
      <c r="B15" s="12" t="n">
        <v>75</v>
      </c>
      <c r="C15" s="16" t="n">
        <f aca="false">B15*12</f>
        <v>900</v>
      </c>
      <c r="D15" s="16" t="n">
        <f aca="false">C15*(1+$B$6)</f>
        <v>1125</v>
      </c>
      <c r="E15" s="17" t="n">
        <f aca="false">D15/C15-1</f>
        <v>0.25</v>
      </c>
      <c r="F15" s="16" t="n">
        <f aca="false">D15/$B$9</f>
        <v>1500</v>
      </c>
    </row>
    <row r="16" customFormat="false" ht="15" hidden="false" customHeight="false" outlineLevel="0" collapsed="false">
      <c r="A16" s="15" t="s">
        <v>46</v>
      </c>
      <c r="B16" s="12" t="n">
        <v>100</v>
      </c>
      <c r="C16" s="16" t="n">
        <f aca="false">B16*12</f>
        <v>1200</v>
      </c>
      <c r="D16" s="16" t="n">
        <f aca="false">C16*(1+$B$6)</f>
        <v>1500</v>
      </c>
      <c r="E16" s="17" t="n">
        <f aca="false">D16/C16-1</f>
        <v>0.25</v>
      </c>
      <c r="F16" s="16" t="n">
        <f aca="false">D16/$B$9</f>
        <v>2000</v>
      </c>
    </row>
    <row r="17" customFormat="false" ht="15" hidden="false" customHeight="false" outlineLevel="0" collapsed="false">
      <c r="A17" s="15" t="s">
        <v>47</v>
      </c>
      <c r="B17" s="12" t="n">
        <v>25</v>
      </c>
      <c r="C17" s="16" t="n">
        <f aca="false">B17*12</f>
        <v>300</v>
      </c>
      <c r="D17" s="16" t="n">
        <f aca="false">C17*(1+$B$6)</f>
        <v>375</v>
      </c>
      <c r="E17" s="17" t="n">
        <f aca="false">D17/C17-1</f>
        <v>0.25</v>
      </c>
      <c r="F17" s="16" t="n">
        <f aca="false">D17/$B$9</f>
        <v>500</v>
      </c>
    </row>
    <row r="19" customFormat="false" ht="15" hidden="false" customHeight="false" outlineLevel="0" collapsed="false">
      <c r="A19" s="18" t="s">
        <v>48</v>
      </c>
      <c r="B19" s="18"/>
      <c r="C19" s="18"/>
      <c r="D19" s="18"/>
      <c r="E19" s="18"/>
      <c r="F19" s="18"/>
    </row>
  </sheetData>
  <mergeCells count="11"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A12:F1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5"/>
    <col collapsed="false" customWidth="true" hidden="false" outlineLevel="0" max="9" min="9" style="0" width="11"/>
  </cols>
  <sheetData>
    <row r="1" customFormat="false" ht="27.7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50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5" t="s">
        <v>51</v>
      </c>
      <c r="B4" s="5"/>
      <c r="C4" s="5"/>
      <c r="D4" s="5"/>
      <c r="E4" s="5"/>
      <c r="F4" s="5"/>
      <c r="G4" s="5"/>
      <c r="H4" s="5"/>
      <c r="I4" s="5"/>
    </row>
    <row r="5" customFormat="false" ht="30" hidden="false" customHeight="true" outlineLevel="0" collapsed="false">
      <c r="A5" s="14" t="s">
        <v>52</v>
      </c>
      <c r="B5" s="14" t="s">
        <v>53</v>
      </c>
      <c r="C5" s="14" t="s">
        <v>54</v>
      </c>
      <c r="D5" s="14" t="s">
        <v>55</v>
      </c>
      <c r="E5" s="14" t="s">
        <v>56</v>
      </c>
      <c r="F5" s="14" t="s">
        <v>57</v>
      </c>
      <c r="G5" s="14" t="s">
        <v>58</v>
      </c>
      <c r="H5" s="14" t="s">
        <v>59</v>
      </c>
      <c r="I5" s="14" t="s">
        <v>60</v>
      </c>
    </row>
    <row r="6" customFormat="false" ht="15" hidden="false" customHeight="false" outlineLevel="0" collapsed="false">
      <c r="A6" s="15" t="s">
        <v>61</v>
      </c>
      <c r="B6" s="19" t="n">
        <v>650</v>
      </c>
      <c r="C6" s="19" t="n">
        <v>1300</v>
      </c>
      <c r="D6" s="16" t="n">
        <f aca="false">IF(C6="","",C6-B6)</f>
        <v>650</v>
      </c>
      <c r="E6" s="17" t="n">
        <f aca="false">IF(C6="","",D6/C6)</f>
        <v>0.5</v>
      </c>
      <c r="F6" s="16" t="n">
        <f aca="false">IF(C6="","",D6)</f>
        <v>650</v>
      </c>
      <c r="G6" s="20" t="n">
        <f aca="false">IF(C6="","",D6*Assumptions!$B$9)</f>
        <v>487.5</v>
      </c>
      <c r="H6" s="21" t="str">
        <f aca="false">IF(C6="","",IF(E6&gt;=0.5,"STRONG",IF(E6&gt;=0.35,"MARGINAL","POOR")))</f>
        <v>STRONG</v>
      </c>
      <c r="I6" s="22" t="s">
        <v>62</v>
      </c>
    </row>
    <row r="7" customFormat="false" ht="15" hidden="false" customHeight="false" outlineLevel="0" collapsed="false">
      <c r="A7" s="15" t="s">
        <v>63</v>
      </c>
      <c r="B7" s="19" t="n">
        <v>250</v>
      </c>
      <c r="C7" s="19" t="n">
        <v>899</v>
      </c>
      <c r="D7" s="16" t="n">
        <f aca="false">IF(C7="","",C7-B7)</f>
        <v>649</v>
      </c>
      <c r="E7" s="17" t="n">
        <f aca="false">IF(C7="","",D7/C7)</f>
        <v>0.721913236929922</v>
      </c>
      <c r="F7" s="16" t="n">
        <f aca="false">IF(C7="","",D7)</f>
        <v>649</v>
      </c>
      <c r="G7" s="20" t="n">
        <f aca="false">IF(C7="","",D7*Assumptions!$B$9)</f>
        <v>486.75</v>
      </c>
      <c r="H7" s="21" t="str">
        <f aca="false">IF(C7="","",IF(E7&gt;=0.5,"STRONG",IF(E7&gt;=0.35,"MARGINAL","POOR")))</f>
        <v>STRONG</v>
      </c>
      <c r="I7" s="22" t="s">
        <v>62</v>
      </c>
    </row>
    <row r="8" customFormat="false" ht="15" hidden="false" customHeight="false" outlineLevel="0" collapsed="false">
      <c r="A8" s="15" t="s">
        <v>64</v>
      </c>
      <c r="B8" s="19" t="n">
        <v>2800</v>
      </c>
      <c r="C8" s="19" t="n">
        <v>4000</v>
      </c>
      <c r="D8" s="16" t="n">
        <f aca="false">IF(C8="","",C8-B8)</f>
        <v>1200</v>
      </c>
      <c r="E8" s="17" t="n">
        <f aca="false">IF(C8="","",D8/C8)</f>
        <v>0.3</v>
      </c>
      <c r="F8" s="16" t="n">
        <f aca="false">IF(C8="","",D8)</f>
        <v>1200</v>
      </c>
      <c r="G8" s="20" t="n">
        <f aca="false">IF(C8="","",D8*Assumptions!$B$9)</f>
        <v>900</v>
      </c>
      <c r="H8" s="21" t="str">
        <f aca="false">IF(C8="","",IF(E8&gt;=0.5,"STRONG",IF(E8&gt;=0.35,"MARGINAL","POOR")))</f>
        <v>POOR</v>
      </c>
      <c r="I8" s="22" t="s">
        <v>62</v>
      </c>
    </row>
    <row r="9" customFormat="false" ht="15" hidden="false" customHeight="false" outlineLevel="0" collapsed="false">
      <c r="A9" s="15" t="s">
        <v>65</v>
      </c>
      <c r="B9" s="19" t="n">
        <v>1200</v>
      </c>
      <c r="C9" s="19" t="n">
        <v>2000</v>
      </c>
      <c r="D9" s="16" t="n">
        <f aca="false">IF(C9="","",C9-B9)</f>
        <v>800</v>
      </c>
      <c r="E9" s="17" t="n">
        <f aca="false">IF(C9="","",D9/C9)</f>
        <v>0.4</v>
      </c>
      <c r="F9" s="16" t="n">
        <f aca="false">IF(C9="","",D9)</f>
        <v>800</v>
      </c>
      <c r="G9" s="20" t="n">
        <f aca="false">IF(C9="","",D9*Assumptions!$B$9)</f>
        <v>600</v>
      </c>
      <c r="H9" s="21" t="str">
        <f aca="false">IF(C9="","",IF(E9&gt;=0.5,"STRONG",IF(E9&gt;=0.35,"MARGINAL","POOR")))</f>
        <v>MARGINAL</v>
      </c>
      <c r="I9" s="23" t="s">
        <v>66</v>
      </c>
    </row>
    <row r="10" customFormat="false" ht="15" hidden="false" customHeight="false" outlineLevel="0" collapsed="false">
      <c r="A10" s="15" t="s">
        <v>67</v>
      </c>
      <c r="B10" s="19" t="n">
        <v>700</v>
      </c>
      <c r="C10" s="19" t="n">
        <v>1500</v>
      </c>
      <c r="D10" s="16" t="n">
        <f aca="false">IF(C10="","",C10-B10)</f>
        <v>800</v>
      </c>
      <c r="E10" s="17" t="n">
        <f aca="false">IF(C10="","",D10/C10)</f>
        <v>0.533333333333333</v>
      </c>
      <c r="F10" s="16" t="n">
        <f aca="false">IF(C10="","",D10)</f>
        <v>800</v>
      </c>
      <c r="G10" s="20" t="n">
        <f aca="false">IF(C10="","",D10*Assumptions!$B$9)</f>
        <v>600</v>
      </c>
      <c r="H10" s="21" t="str">
        <f aca="false">IF(C10="","",IF(E10&gt;=0.5,"STRONG",IF(E10&gt;=0.35,"MARGINAL","POOR")))</f>
        <v>STRONG</v>
      </c>
      <c r="I10" s="23" t="s">
        <v>66</v>
      </c>
    </row>
    <row r="11" customFormat="false" ht="15" hidden="false" customHeight="false" outlineLevel="0" collapsed="false">
      <c r="A11" s="15" t="s">
        <v>68</v>
      </c>
      <c r="B11" s="19" t="n">
        <v>180</v>
      </c>
      <c r="C11" s="19" t="n">
        <v>600</v>
      </c>
      <c r="D11" s="16" t="n">
        <f aca="false">IF(C11="","",C11-B11)</f>
        <v>420</v>
      </c>
      <c r="E11" s="17" t="n">
        <f aca="false">IF(C11="","",D11/C11)</f>
        <v>0.7</v>
      </c>
      <c r="F11" s="16" t="n">
        <f aca="false">IF(C11="","",D11)</f>
        <v>420</v>
      </c>
      <c r="G11" s="20" t="n">
        <f aca="false">IF(C11="","",D11*Assumptions!$B$9)</f>
        <v>315</v>
      </c>
      <c r="H11" s="21" t="str">
        <f aca="false">IF(C11="","",IF(E11&gt;=0.5,"STRONG",IF(E11&gt;=0.35,"MARGINAL","POOR")))</f>
        <v>STRONG</v>
      </c>
      <c r="I11" s="23" t="s">
        <v>66</v>
      </c>
    </row>
    <row r="12" customFormat="false" ht="15" hidden="false" customHeight="false" outlineLevel="0" collapsed="false">
      <c r="A12" s="15" t="s">
        <v>69</v>
      </c>
      <c r="B12" s="19" t="n">
        <v>220</v>
      </c>
      <c r="C12" s="19" t="n">
        <v>700</v>
      </c>
      <c r="D12" s="16" t="n">
        <f aca="false">IF(C12="","",C12-B12)</f>
        <v>480</v>
      </c>
      <c r="E12" s="17" t="n">
        <f aca="false">IF(C12="","",D12/C12)</f>
        <v>0.685714285714286</v>
      </c>
      <c r="F12" s="16" t="n">
        <f aca="false">IF(C12="","",D12)</f>
        <v>480</v>
      </c>
      <c r="G12" s="20" t="n">
        <f aca="false">IF(C12="","",D12*Assumptions!$B$9)</f>
        <v>360</v>
      </c>
      <c r="H12" s="21" t="str">
        <f aca="false">IF(C12="","",IF(E12&gt;=0.5,"STRONG",IF(E12&gt;=0.35,"MARGINAL","POOR")))</f>
        <v>STRONG</v>
      </c>
      <c r="I12" s="23" t="s">
        <v>66</v>
      </c>
    </row>
    <row r="13" customFormat="false" ht="15" hidden="false" customHeight="false" outlineLevel="0" collapsed="false">
      <c r="A13" s="15" t="s">
        <v>70</v>
      </c>
      <c r="B13" s="19" t="n">
        <v>450</v>
      </c>
      <c r="C13" s="19" t="n">
        <v>1100</v>
      </c>
      <c r="D13" s="16" t="n">
        <f aca="false">IF(C13="","",C13-B13)</f>
        <v>650</v>
      </c>
      <c r="E13" s="17" t="n">
        <f aca="false">IF(C13="","",D13/C13)</f>
        <v>0.590909090909091</v>
      </c>
      <c r="F13" s="16" t="n">
        <f aca="false">IF(C13="","",D13)</f>
        <v>650</v>
      </c>
      <c r="G13" s="20" t="n">
        <f aca="false">IF(C13="","",D13*Assumptions!$B$9)</f>
        <v>487.5</v>
      </c>
      <c r="H13" s="21" t="str">
        <f aca="false">IF(C13="","",IF(E13&gt;=0.5,"STRONG",IF(E13&gt;=0.35,"MARGINAL","POOR")))</f>
        <v>STRONG</v>
      </c>
      <c r="I13" s="23" t="s">
        <v>66</v>
      </c>
    </row>
    <row r="14" customFormat="false" ht="15" hidden="false" customHeight="false" outlineLevel="0" collapsed="false">
      <c r="A14" s="15" t="s">
        <v>71</v>
      </c>
      <c r="B14" s="19" t="n">
        <v>2500</v>
      </c>
      <c r="C14" s="19" t="n">
        <v>5000</v>
      </c>
      <c r="D14" s="16" t="n">
        <f aca="false">IF(C14="","",C14-B14)</f>
        <v>2500</v>
      </c>
      <c r="E14" s="17" t="n">
        <f aca="false">IF(C14="","",D14/C14)</f>
        <v>0.5</v>
      </c>
      <c r="F14" s="16" t="n">
        <f aca="false">IF(C14="","",D14)</f>
        <v>2500</v>
      </c>
      <c r="G14" s="20" t="n">
        <f aca="false">IF(C14="","",D14*Assumptions!$B$9)</f>
        <v>1875</v>
      </c>
      <c r="H14" s="21" t="str">
        <f aca="false">IF(C14="","",IF(E14&gt;=0.5,"STRONG",IF(E14&gt;=0.35,"MARGINAL","POOR")))</f>
        <v>STRONG</v>
      </c>
      <c r="I14" s="23" t="s">
        <v>66</v>
      </c>
    </row>
    <row r="15" customFormat="false" ht="15" hidden="false" customHeight="false" outlineLevel="0" collapsed="false">
      <c r="A15" s="15" t="s">
        <v>72</v>
      </c>
      <c r="B15" s="19" t="n">
        <v>900</v>
      </c>
      <c r="C15" s="19" t="n">
        <v>2200</v>
      </c>
      <c r="D15" s="16" t="n">
        <f aca="false">IF(C15="","",C15-B15)</f>
        <v>1300</v>
      </c>
      <c r="E15" s="17" t="n">
        <f aca="false">IF(C15="","",D15/C15)</f>
        <v>0.590909090909091</v>
      </c>
      <c r="F15" s="16" t="n">
        <f aca="false">IF(C15="","",D15)</f>
        <v>1300</v>
      </c>
      <c r="G15" s="20" t="n">
        <f aca="false">IF(C15="","",D15*Assumptions!$B$9)</f>
        <v>975</v>
      </c>
      <c r="H15" s="21" t="str">
        <f aca="false">IF(C15="","",IF(E15&gt;=0.5,"STRONG",IF(E15&gt;=0.35,"MARGINAL","POOR")))</f>
        <v>STRONG</v>
      </c>
      <c r="I15" s="23" t="s">
        <v>66</v>
      </c>
    </row>
    <row r="16" customFormat="false" ht="15" hidden="false" customHeight="false" outlineLevel="0" collapsed="false">
      <c r="A16" s="15" t="s">
        <v>73</v>
      </c>
      <c r="B16" s="19" t="n">
        <v>800</v>
      </c>
      <c r="C16" s="19" t="n">
        <v>1800</v>
      </c>
      <c r="D16" s="16" t="n">
        <f aca="false">IF(C16="","",C16-B16)</f>
        <v>1000</v>
      </c>
      <c r="E16" s="17" t="n">
        <f aca="false">IF(C16="","",D16/C16)</f>
        <v>0.555555555555556</v>
      </c>
      <c r="F16" s="16" t="n">
        <f aca="false">IF(C16="","",D16)</f>
        <v>1000</v>
      </c>
      <c r="G16" s="20" t="n">
        <f aca="false">IF(C16="","",D16*Assumptions!$B$9)</f>
        <v>750</v>
      </c>
      <c r="H16" s="21" t="str">
        <f aca="false">IF(C16="","",IF(E16&gt;=0.5,"STRONG",IF(E16&gt;=0.35,"MARGINAL","POOR")))</f>
        <v>STRONG</v>
      </c>
      <c r="I16" s="23" t="s">
        <v>66</v>
      </c>
    </row>
    <row r="17" customFormat="false" ht="15" hidden="false" customHeight="false" outlineLevel="0" collapsed="false">
      <c r="A17" s="15" t="s">
        <v>74</v>
      </c>
      <c r="B17" s="19" t="n">
        <v>500</v>
      </c>
      <c r="C17" s="19" t="n">
        <v>1200</v>
      </c>
      <c r="D17" s="16" t="n">
        <f aca="false">IF(C17="","",C17-B17)</f>
        <v>700</v>
      </c>
      <c r="E17" s="17" t="n">
        <f aca="false">IF(C17="","",D17/C17)</f>
        <v>0.583333333333333</v>
      </c>
      <c r="F17" s="16" t="n">
        <f aca="false">IF(C17="","",D17)</f>
        <v>700</v>
      </c>
      <c r="G17" s="20" t="n">
        <f aca="false">IF(C17="","",D17*Assumptions!$B$9)</f>
        <v>525</v>
      </c>
      <c r="H17" s="21" t="str">
        <f aca="false">IF(C17="","",IF(E17&gt;=0.5,"STRONG",IF(E17&gt;=0.35,"MARGINAL","POOR")))</f>
        <v>STRONG</v>
      </c>
      <c r="I17" s="23" t="s">
        <v>66</v>
      </c>
    </row>
    <row r="18" customFormat="false" ht="15" hidden="false" customHeight="false" outlineLevel="0" collapsed="false">
      <c r="A18" s="15" t="s">
        <v>75</v>
      </c>
      <c r="B18" s="19" t="n">
        <v>120</v>
      </c>
      <c r="C18" s="19" t="n">
        <v>350</v>
      </c>
      <c r="D18" s="16" t="n">
        <f aca="false">IF(C18="","",C18-B18)</f>
        <v>230</v>
      </c>
      <c r="E18" s="17" t="n">
        <f aca="false">IF(C18="","",D18/C18)</f>
        <v>0.657142857142857</v>
      </c>
      <c r="F18" s="16" t="n">
        <f aca="false">IF(C18="","",D18)</f>
        <v>230</v>
      </c>
      <c r="G18" s="20" t="n">
        <f aca="false">IF(C18="","",D18*Assumptions!$B$9)</f>
        <v>172.5</v>
      </c>
      <c r="H18" s="21" t="str">
        <f aca="false">IF(C18="","",IF(E18&gt;=0.5,"STRONG",IF(E18&gt;=0.35,"MARGINAL","POOR")))</f>
        <v>STRONG</v>
      </c>
      <c r="I18" s="23" t="s">
        <v>66</v>
      </c>
    </row>
    <row r="19" customFormat="false" ht="15" hidden="false" customHeight="false" outlineLevel="0" collapsed="false">
      <c r="A19" s="15" t="s">
        <v>76</v>
      </c>
      <c r="B19" s="19" t="n">
        <v>180</v>
      </c>
      <c r="C19" s="19" t="n">
        <v>450</v>
      </c>
      <c r="D19" s="16" t="n">
        <f aca="false">IF(C19="","",C19-B19)</f>
        <v>270</v>
      </c>
      <c r="E19" s="17" t="n">
        <f aca="false">IF(C19="","",D19/C19)</f>
        <v>0.6</v>
      </c>
      <c r="F19" s="16" t="n">
        <f aca="false">IF(C19="","",D19)</f>
        <v>270</v>
      </c>
      <c r="G19" s="20" t="n">
        <f aca="false">IF(C19="","",D19*Assumptions!$B$9)</f>
        <v>202.5</v>
      </c>
      <c r="H19" s="21" t="str">
        <f aca="false">IF(C19="","",IF(E19&gt;=0.5,"STRONG",IF(E19&gt;=0.35,"MARGINAL","POOR")))</f>
        <v>STRONG</v>
      </c>
      <c r="I19" s="23" t="s">
        <v>66</v>
      </c>
    </row>
    <row r="20" customFormat="false" ht="15" hidden="false" customHeight="false" outlineLevel="0" collapsed="false">
      <c r="A20" s="15" t="s">
        <v>77</v>
      </c>
      <c r="B20" s="19" t="n">
        <v>350</v>
      </c>
      <c r="C20" s="19" t="n">
        <v>800</v>
      </c>
      <c r="D20" s="16" t="n">
        <f aca="false">IF(C20="","",C20-B20)</f>
        <v>450</v>
      </c>
      <c r="E20" s="17" t="n">
        <f aca="false">IF(C20="","",D20/C20)</f>
        <v>0.5625</v>
      </c>
      <c r="F20" s="16" t="n">
        <f aca="false">IF(C20="","",D20)</f>
        <v>450</v>
      </c>
      <c r="G20" s="20" t="n">
        <f aca="false">IF(C20="","",D20*Assumptions!$B$9)</f>
        <v>337.5</v>
      </c>
      <c r="H20" s="21" t="str">
        <f aca="false">IF(C20="","",IF(E20&gt;=0.5,"STRONG",IF(E20&gt;=0.35,"MARGINAL","POOR")))</f>
        <v>STRONG</v>
      </c>
      <c r="I20" s="23" t="s">
        <v>66</v>
      </c>
    </row>
    <row r="21" customFormat="false" ht="15" hidden="false" customHeight="false" outlineLevel="0" collapsed="false">
      <c r="A21" s="15" t="s">
        <v>78</v>
      </c>
      <c r="B21" s="19" t="n">
        <v>300</v>
      </c>
      <c r="C21" s="19" t="n">
        <v>750</v>
      </c>
      <c r="D21" s="16" t="n">
        <f aca="false">IF(C21="","",C21-B21)</f>
        <v>450</v>
      </c>
      <c r="E21" s="17" t="n">
        <f aca="false">IF(C21="","",D21/C21)</f>
        <v>0.6</v>
      </c>
      <c r="F21" s="16" t="n">
        <f aca="false">IF(C21="","",D21)</f>
        <v>450</v>
      </c>
      <c r="G21" s="20" t="n">
        <f aca="false">IF(C21="","",D21*Assumptions!$B$9)</f>
        <v>337.5</v>
      </c>
      <c r="H21" s="21" t="str">
        <f aca="false">IF(C21="","",IF(E21&gt;=0.5,"STRONG",IF(E21&gt;=0.35,"MARGINAL","POOR")))</f>
        <v>STRONG</v>
      </c>
      <c r="I21" s="23" t="s">
        <v>66</v>
      </c>
    </row>
    <row r="22" customFormat="false" ht="15" hidden="false" customHeight="false" outlineLevel="0" collapsed="false">
      <c r="A22" s="15" t="s">
        <v>79</v>
      </c>
      <c r="B22" s="19" t="n">
        <v>400</v>
      </c>
      <c r="C22" s="19" t="n">
        <v>1000</v>
      </c>
      <c r="D22" s="16" t="n">
        <f aca="false">IF(C22="","",C22-B22)</f>
        <v>600</v>
      </c>
      <c r="E22" s="17" t="n">
        <f aca="false">IF(C22="","",D22/C22)</f>
        <v>0.6</v>
      </c>
      <c r="F22" s="16" t="n">
        <f aca="false">IF(C22="","",D22)</f>
        <v>600</v>
      </c>
      <c r="G22" s="20" t="n">
        <f aca="false">IF(C22="","",D22*Assumptions!$B$9)</f>
        <v>450</v>
      </c>
      <c r="H22" s="21" t="str">
        <f aca="false">IF(C22="","",IF(E22&gt;=0.5,"STRONG",IF(E22&gt;=0.35,"MARGINAL","POOR")))</f>
        <v>STRONG</v>
      </c>
      <c r="I22" s="23" t="s">
        <v>66</v>
      </c>
    </row>
    <row r="23" customFormat="false" ht="15" hidden="false" customHeight="false" outlineLevel="0" collapsed="false">
      <c r="A23" s="15" t="s">
        <v>80</v>
      </c>
      <c r="B23" s="19" t="n">
        <v>600</v>
      </c>
      <c r="C23" s="19" t="n">
        <v>1400</v>
      </c>
      <c r="D23" s="16" t="n">
        <f aca="false">IF(C23="","",C23-B23)</f>
        <v>800</v>
      </c>
      <c r="E23" s="17" t="n">
        <f aca="false">IF(C23="","",D23/C23)</f>
        <v>0.571428571428571</v>
      </c>
      <c r="F23" s="16" t="n">
        <f aca="false">IF(C23="","",D23)</f>
        <v>800</v>
      </c>
      <c r="G23" s="20" t="n">
        <f aca="false">IF(C23="","",D23*Assumptions!$B$9)</f>
        <v>600</v>
      </c>
      <c r="H23" s="21" t="str">
        <f aca="false">IF(C23="","",IF(E23&gt;=0.5,"STRONG",IF(E23&gt;=0.35,"MARGINAL","POOR")))</f>
        <v>STRONG</v>
      </c>
      <c r="I23" s="23" t="s">
        <v>66</v>
      </c>
    </row>
    <row r="25" customFormat="false" ht="15" hidden="false" customHeight="false" outlineLevel="0" collapsed="false">
      <c r="A25" s="18" t="s">
        <v>81</v>
      </c>
      <c r="B25" s="18"/>
      <c r="C25" s="18"/>
      <c r="D25" s="18"/>
      <c r="E25" s="18"/>
      <c r="F25" s="18"/>
      <c r="G25" s="18"/>
      <c r="H25" s="18"/>
      <c r="I25" s="18"/>
    </row>
    <row r="26" customFormat="false" ht="15" hidden="false" customHeight="false" outlineLevel="0" collapsed="false">
      <c r="A26" s="24" t="s">
        <v>82</v>
      </c>
      <c r="B26" s="24"/>
      <c r="C26" s="24"/>
      <c r="D26" s="24"/>
      <c r="E26" s="24"/>
      <c r="F26" s="24"/>
      <c r="G26" s="24"/>
      <c r="H26" s="24"/>
      <c r="I26" s="24"/>
    </row>
  </sheetData>
  <mergeCells count="5">
    <mergeCell ref="A1:H1"/>
    <mergeCell ref="A2:H2"/>
    <mergeCell ref="A4:I4"/>
    <mergeCell ref="A25:I25"/>
    <mergeCell ref="A26:I26"/>
  </mergeCells>
  <conditionalFormatting sqref="H6:H23">
    <cfRule type="expression" priority="2" aboveAverage="0" equalAverage="0" bottom="0" percent="0" rank="0" text="" dxfId="0">
      <formula>$E6&gt;=0.5</formula>
    </cfRule>
    <cfRule type="expression" priority="3" aboveAverage="0" equalAverage="0" bottom="0" percent="0" rank="0" text="" dxfId="1">
      <formula>AND($E6&gt;=0.35,$E6&lt;0.5)</formula>
    </cfRule>
    <cfRule type="expression" priority="4" aboveAverage="0" equalAverage="0" bottom="0" percent="0" rank="0" text="" dxfId="2">
      <formula>AND($C6&lt;&gt;"",$E6&lt;0.35)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6"/>
  </cols>
  <sheetData>
    <row r="1" customFormat="false" ht="27.75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84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5" t="s">
        <v>85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25" t="s">
        <v>86</v>
      </c>
      <c r="B5" s="26" t="s">
        <v>44</v>
      </c>
      <c r="C5" s="26"/>
      <c r="D5" s="27" t="s">
        <v>87</v>
      </c>
      <c r="E5" s="20" t="n">
        <f aca="false">VLOOKUP($B$5,Assumptions!$A$14:$D$17,2,FALSE())</f>
        <v>40</v>
      </c>
      <c r="F5" s="27" t="s">
        <v>88</v>
      </c>
      <c r="G5" s="20" t="n">
        <f aca="false">VLOOKUP($B$5,Assumptions!$A$14:$D$17,3,FALSE())</f>
        <v>480</v>
      </c>
      <c r="H5" s="27" t="s">
        <v>89</v>
      </c>
      <c r="I5" s="20" t="n">
        <f aca="false">VLOOKUP($B$5,Assumptions!$A$14:$D$17,4,FALSE())</f>
        <v>600</v>
      </c>
    </row>
    <row r="7" customFormat="false" ht="19.5" hidden="false" customHeight="true" outlineLevel="0" collapsed="false">
      <c r="A7" s="5" t="s">
        <v>90</v>
      </c>
      <c r="B7" s="5"/>
      <c r="C7" s="5"/>
      <c r="D7" s="5"/>
      <c r="E7" s="5"/>
      <c r="F7" s="5"/>
      <c r="G7" s="5"/>
      <c r="H7" s="5"/>
      <c r="I7" s="5"/>
    </row>
    <row r="8" customFormat="false" ht="31.5" hidden="false" customHeight="true" outlineLevel="0" collapsed="false">
      <c r="A8" s="14" t="s">
        <v>52</v>
      </c>
      <c r="B8" s="14" t="s">
        <v>91</v>
      </c>
      <c r="C8" s="14" t="s">
        <v>92</v>
      </c>
      <c r="D8" s="14" t="s">
        <v>93</v>
      </c>
      <c r="E8" s="14" t="s">
        <v>94</v>
      </c>
      <c r="F8" s="14" t="s">
        <v>95</v>
      </c>
      <c r="G8" s="14" t="s">
        <v>96</v>
      </c>
      <c r="H8" s="14" t="s">
        <v>97</v>
      </c>
      <c r="I8" s="14" t="s">
        <v>98</v>
      </c>
    </row>
    <row r="9" customFormat="false" ht="15" hidden="false" customHeight="false" outlineLevel="0" collapsed="false">
      <c r="A9" s="28" t="str">
        <f aca="false">IF('SKU Catalog'!A6="","",'SKU Catalog'!A6)</f>
        <v>URC cinema remote</v>
      </c>
      <c r="B9" s="20" t="n">
        <f aca="false">IF('SKU Catalog'!C6="","",'SKU Catalog'!C6)</f>
        <v>1300</v>
      </c>
      <c r="C9" s="20" t="n">
        <f aca="false">IF('SKU Catalog'!C6="","",'SKU Catalog'!B6)</f>
        <v>650</v>
      </c>
      <c r="D9" s="16" t="n">
        <f aca="false">IF(B9="","",MIN($I$5,'SKU Catalog'!D6))</f>
        <v>600</v>
      </c>
      <c r="E9" s="16" t="n">
        <f aca="false">IF(B9="","",B9-D9)</f>
        <v>700</v>
      </c>
      <c r="F9" s="16" t="n">
        <f aca="false">IF(B9="","",$G$5+E9)</f>
        <v>1180</v>
      </c>
      <c r="G9" s="16" t="n">
        <f aca="false">IF(B9="","",B9-F9)</f>
        <v>120</v>
      </c>
      <c r="H9" s="29" t="n">
        <f aca="false">IF(B9="","",$G$5+(E9-C9))</f>
        <v>530</v>
      </c>
      <c r="I9" s="21" t="str">
        <f aca="false">IF(B9="","",IF(AND(E9&gt;=C9,G9&gt;0),"YES","CHECK"))</f>
        <v>YES</v>
      </c>
    </row>
    <row r="10" customFormat="false" ht="15" hidden="false" customHeight="false" outlineLevel="0" collapsed="false">
      <c r="A10" s="28" t="str">
        <f aca="false">IF('SKU Catalog'!A7="","",'SKU Catalog'!A7)</f>
        <v>Bookshelf speakers (pair)</v>
      </c>
      <c r="B10" s="20" t="n">
        <f aca="false">IF('SKU Catalog'!C7="","",'SKU Catalog'!C7)</f>
        <v>899</v>
      </c>
      <c r="C10" s="20" t="n">
        <f aca="false">IF('SKU Catalog'!C7="","",'SKU Catalog'!B7)</f>
        <v>250</v>
      </c>
      <c r="D10" s="16" t="n">
        <f aca="false">IF(B10="","",MIN($I$5,'SKU Catalog'!D7))</f>
        <v>600</v>
      </c>
      <c r="E10" s="16" t="n">
        <f aca="false">IF(B10="","",B10-D10)</f>
        <v>299</v>
      </c>
      <c r="F10" s="16" t="n">
        <f aca="false">IF(B10="","",$G$5+E10)</f>
        <v>779</v>
      </c>
      <c r="G10" s="16" t="n">
        <f aca="false">IF(B10="","",B10-F10)</f>
        <v>120</v>
      </c>
      <c r="H10" s="29" t="n">
        <f aca="false">IF(B10="","",$G$5+(E10-C10))</f>
        <v>529</v>
      </c>
      <c r="I10" s="21" t="str">
        <f aca="false">IF(B10="","",IF(AND(E10&gt;=C10,G10&gt;0),"YES","CHECK"))</f>
        <v>YES</v>
      </c>
    </row>
    <row r="11" customFormat="false" ht="15" hidden="false" customHeight="false" outlineLevel="0" collapsed="false">
      <c r="A11" s="28" t="str">
        <f aca="false">IF('SKU Catalog'!A8="","",'SKU Catalog'!A8)</f>
        <v>Marantz pre-amp</v>
      </c>
      <c r="B11" s="20" t="n">
        <f aca="false">IF('SKU Catalog'!C8="","",'SKU Catalog'!C8)</f>
        <v>4000</v>
      </c>
      <c r="C11" s="20" t="n">
        <f aca="false">IF('SKU Catalog'!C8="","",'SKU Catalog'!B8)</f>
        <v>2800</v>
      </c>
      <c r="D11" s="16" t="n">
        <f aca="false">IF(B11="","",MIN($I$5,'SKU Catalog'!D8))</f>
        <v>600</v>
      </c>
      <c r="E11" s="16" t="n">
        <f aca="false">IF(B11="","",B11-D11)</f>
        <v>3400</v>
      </c>
      <c r="F11" s="16" t="n">
        <f aca="false">IF(B11="","",$G$5+E11)</f>
        <v>3880</v>
      </c>
      <c r="G11" s="16" t="n">
        <f aca="false">IF(B11="","",B11-F11)</f>
        <v>120</v>
      </c>
      <c r="H11" s="29" t="n">
        <f aca="false">IF(B11="","",$G$5+(E11-C11))</f>
        <v>1080</v>
      </c>
      <c r="I11" s="21" t="str">
        <f aca="false">IF(B11="","",IF(AND(E11&gt;=C11,G11&gt;0),"YES","CHECK"))</f>
        <v>YES</v>
      </c>
    </row>
    <row r="12" customFormat="false" ht="15" hidden="false" customHeight="false" outlineLevel="0" collapsed="false">
      <c r="A12" s="28" t="str">
        <f aca="false">IF('SKU Catalog'!A9="","",'SKU Catalog'!A9)</f>
        <v>Denon AV receiver</v>
      </c>
      <c r="B12" s="20" t="n">
        <f aca="false">IF('SKU Catalog'!C9="","",'SKU Catalog'!C9)</f>
        <v>2000</v>
      </c>
      <c r="C12" s="20" t="n">
        <f aca="false">IF('SKU Catalog'!C9="","",'SKU Catalog'!B9)</f>
        <v>1200</v>
      </c>
      <c r="D12" s="16" t="n">
        <f aca="false">IF(B12="","",MIN($I$5,'SKU Catalog'!D9))</f>
        <v>600</v>
      </c>
      <c r="E12" s="16" t="n">
        <f aca="false">IF(B12="","",B12-D12)</f>
        <v>1400</v>
      </c>
      <c r="F12" s="16" t="n">
        <f aca="false">IF(B12="","",$G$5+E12)</f>
        <v>1880</v>
      </c>
      <c r="G12" s="16" t="n">
        <f aca="false">IF(B12="","",B12-F12)</f>
        <v>120</v>
      </c>
      <c r="H12" s="29" t="n">
        <f aca="false">IF(B12="","",$G$5+(E12-C12))</f>
        <v>680</v>
      </c>
      <c r="I12" s="21" t="str">
        <f aca="false">IF(B12="","",IF(AND(E12&gt;=C12,G12&gt;0),"YES","CHECK"))</f>
        <v>YES</v>
      </c>
    </row>
    <row r="13" customFormat="false" ht="15" hidden="false" customHeight="false" outlineLevel="0" collapsed="false">
      <c r="A13" s="28" t="str">
        <f aca="false">IF('SKU Catalog'!A10="","",'SKU Catalog'!A10)</f>
        <v>URC total-control processor</v>
      </c>
      <c r="B13" s="20" t="n">
        <f aca="false">IF('SKU Catalog'!C10="","",'SKU Catalog'!C10)</f>
        <v>1500</v>
      </c>
      <c r="C13" s="20" t="n">
        <f aca="false">IF('SKU Catalog'!C10="","",'SKU Catalog'!B10)</f>
        <v>700</v>
      </c>
      <c r="D13" s="16" t="n">
        <f aca="false">IF(B13="","",MIN($I$5,'SKU Catalog'!D10))</f>
        <v>600</v>
      </c>
      <c r="E13" s="16" t="n">
        <f aca="false">IF(B13="","",B13-D13)</f>
        <v>900</v>
      </c>
      <c r="F13" s="16" t="n">
        <f aca="false">IF(B13="","",$G$5+E13)</f>
        <v>1380</v>
      </c>
      <c r="G13" s="16" t="n">
        <f aca="false">IF(B13="","",B13-F13)</f>
        <v>120</v>
      </c>
      <c r="H13" s="29" t="n">
        <f aca="false">IF(B13="","",$G$5+(E13-C13))</f>
        <v>680</v>
      </c>
      <c r="I13" s="21" t="str">
        <f aca="false">IF(B13="","",IF(AND(E13&gt;=C13,G13&gt;0),"YES","CHECK"))</f>
        <v>YES</v>
      </c>
    </row>
    <row r="14" customFormat="false" ht="15" hidden="false" customHeight="false" outlineLevel="0" collapsed="false">
      <c r="A14" s="28" t="str">
        <f aca="false">IF('SKU Catalog'!A11="","",'SKU Catalog'!A11)</f>
        <v>In-ceiling speakers (pair)</v>
      </c>
      <c r="B14" s="20" t="n">
        <f aca="false">IF('SKU Catalog'!C11="","",'SKU Catalog'!C11)</f>
        <v>600</v>
      </c>
      <c r="C14" s="20" t="n">
        <f aca="false">IF('SKU Catalog'!C11="","",'SKU Catalog'!B11)</f>
        <v>180</v>
      </c>
      <c r="D14" s="16" t="n">
        <f aca="false">IF(B14="","",MIN($I$5,'SKU Catalog'!D11))</f>
        <v>420</v>
      </c>
      <c r="E14" s="16" t="n">
        <f aca="false">IF(B14="","",B14-D14)</f>
        <v>180</v>
      </c>
      <c r="F14" s="16" t="n">
        <f aca="false">IF(B14="","",$G$5+E14)</f>
        <v>660</v>
      </c>
      <c r="G14" s="16" t="n">
        <f aca="false">IF(B14="","",B14-F14)</f>
        <v>-60</v>
      </c>
      <c r="H14" s="29" t="n">
        <f aca="false">IF(B14="","",$G$5+(E14-C14))</f>
        <v>480</v>
      </c>
      <c r="I14" s="21" t="str">
        <f aca="false">IF(B14="","",IF(AND(E14&gt;=C14,G14&gt;0),"YES","CHECK"))</f>
        <v>CHECK</v>
      </c>
    </row>
    <row r="15" customFormat="false" ht="15" hidden="false" customHeight="false" outlineLevel="0" collapsed="false">
      <c r="A15" s="28" t="str">
        <f aca="false">IF('SKU Catalog'!A12="","",'SKU Catalog'!A12)</f>
        <v>Outdoor speakers (pair)</v>
      </c>
      <c r="B15" s="20" t="n">
        <f aca="false">IF('SKU Catalog'!C12="","",'SKU Catalog'!C12)</f>
        <v>700</v>
      </c>
      <c r="C15" s="20" t="n">
        <f aca="false">IF('SKU Catalog'!C12="","",'SKU Catalog'!B12)</f>
        <v>220</v>
      </c>
      <c r="D15" s="16" t="n">
        <f aca="false">IF(B15="","",MIN($I$5,'SKU Catalog'!D12))</f>
        <v>480</v>
      </c>
      <c r="E15" s="16" t="n">
        <f aca="false">IF(B15="","",B15-D15)</f>
        <v>220</v>
      </c>
      <c r="F15" s="16" t="n">
        <f aca="false">IF(B15="","",$G$5+E15)</f>
        <v>700</v>
      </c>
      <c r="G15" s="16" t="n">
        <f aca="false">IF(B15="","",B15-F15)</f>
        <v>0</v>
      </c>
      <c r="H15" s="29" t="n">
        <f aca="false">IF(B15="","",$G$5+(E15-C15))</f>
        <v>480</v>
      </c>
      <c r="I15" s="21" t="str">
        <f aca="false">IF(B15="","",IF(AND(E15&gt;=C15,G15&gt;0),"YES","CHECK"))</f>
        <v>CHECK</v>
      </c>
    </row>
    <row r="16" customFormat="false" ht="15" hidden="false" customHeight="false" outlineLevel="0" collapsed="false">
      <c r="A16" s="28" t="str">
        <f aca="false">IF('SKU Catalog'!A13="","",'SKU Catalog'!A13)</f>
        <v>Powered subwoofer</v>
      </c>
      <c r="B16" s="20" t="n">
        <f aca="false">IF('SKU Catalog'!C13="","",'SKU Catalog'!C13)</f>
        <v>1100</v>
      </c>
      <c r="C16" s="20" t="n">
        <f aca="false">IF('SKU Catalog'!C13="","",'SKU Catalog'!B13)</f>
        <v>450</v>
      </c>
      <c r="D16" s="16" t="n">
        <f aca="false">IF(B16="","",MIN($I$5,'SKU Catalog'!D13))</f>
        <v>600</v>
      </c>
      <c r="E16" s="16" t="n">
        <f aca="false">IF(B16="","",B16-D16)</f>
        <v>500</v>
      </c>
      <c r="F16" s="16" t="n">
        <f aca="false">IF(B16="","",$G$5+E16)</f>
        <v>980</v>
      </c>
      <c r="G16" s="16" t="n">
        <f aca="false">IF(B16="","",B16-F16)</f>
        <v>120</v>
      </c>
      <c r="H16" s="29" t="n">
        <f aca="false">IF(B16="","",$G$5+(E16-C16))</f>
        <v>530</v>
      </c>
      <c r="I16" s="21" t="str">
        <f aca="false">IF(B16="","",IF(AND(E16&gt;=C16,G16&gt;0),"YES","CHECK"))</f>
        <v>YES</v>
      </c>
    </row>
    <row r="17" customFormat="false" ht="15" hidden="false" customHeight="false" outlineLevel="0" collapsed="false">
      <c r="A17" s="28" t="str">
        <f aca="false">IF('SKU Catalog'!A14="","",'SKU Catalog'!A14)</f>
        <v>4K home-theater projector</v>
      </c>
      <c r="B17" s="20" t="n">
        <f aca="false">IF('SKU Catalog'!C14="","",'SKU Catalog'!C14)</f>
        <v>5000</v>
      </c>
      <c r="C17" s="20" t="n">
        <f aca="false">IF('SKU Catalog'!C14="","",'SKU Catalog'!B14)</f>
        <v>2500</v>
      </c>
      <c r="D17" s="16" t="n">
        <f aca="false">IF(B17="","",MIN($I$5,'SKU Catalog'!D14))</f>
        <v>600</v>
      </c>
      <c r="E17" s="16" t="n">
        <f aca="false">IF(B17="","",B17-D17)</f>
        <v>4400</v>
      </c>
      <c r="F17" s="16" t="n">
        <f aca="false">IF(B17="","",$G$5+E17)</f>
        <v>4880</v>
      </c>
      <c r="G17" s="16" t="n">
        <f aca="false">IF(B17="","",B17-F17)</f>
        <v>120</v>
      </c>
      <c r="H17" s="29" t="n">
        <f aca="false">IF(B17="","",$G$5+(E17-C17))</f>
        <v>2380</v>
      </c>
      <c r="I17" s="21" t="str">
        <f aca="false">IF(B17="","",IF(AND(E17&gt;=C17,G17&gt;0),"YES","CHECK"))</f>
        <v>YES</v>
      </c>
    </row>
    <row r="18" customFormat="false" ht="15" hidden="false" customHeight="false" outlineLevel="0" collapsed="false">
      <c r="A18" s="28" t="str">
        <f aca="false">IF('SKU Catalog'!A15="","",'SKU Catalog'!A15)</f>
        <v>Motorized projector screen</v>
      </c>
      <c r="B18" s="20" t="n">
        <f aca="false">IF('SKU Catalog'!C15="","",'SKU Catalog'!C15)</f>
        <v>2200</v>
      </c>
      <c r="C18" s="20" t="n">
        <f aca="false">IF('SKU Catalog'!C15="","",'SKU Catalog'!B15)</f>
        <v>900</v>
      </c>
      <c r="D18" s="16" t="n">
        <f aca="false">IF(B18="","",MIN($I$5,'SKU Catalog'!D15))</f>
        <v>600</v>
      </c>
      <c r="E18" s="16" t="n">
        <f aca="false">IF(B18="","",B18-D18)</f>
        <v>1600</v>
      </c>
      <c r="F18" s="16" t="n">
        <f aca="false">IF(B18="","",$G$5+E18)</f>
        <v>2080</v>
      </c>
      <c r="G18" s="16" t="n">
        <f aca="false">IF(B18="","",B18-F18)</f>
        <v>120</v>
      </c>
      <c r="H18" s="29" t="n">
        <f aca="false">IF(B18="","",$G$5+(E18-C18))</f>
        <v>1180</v>
      </c>
      <c r="I18" s="21" t="str">
        <f aca="false">IF(B18="","",IF(AND(E18&gt;=C18,G18&gt;0),"YES","CHECK"))</f>
        <v>YES</v>
      </c>
    </row>
    <row r="19" customFormat="false" ht="15" hidden="false" customHeight="false" outlineLevel="0" collapsed="false">
      <c r="A19" s="28" t="str">
        <f aca="false">IF('SKU Catalog'!A16="","",'SKU Catalog'!A16)</f>
        <v>Multi-zone amplifier (8-ch)</v>
      </c>
      <c r="B19" s="20" t="n">
        <f aca="false">IF('SKU Catalog'!C16="","",'SKU Catalog'!C16)</f>
        <v>1800</v>
      </c>
      <c r="C19" s="20" t="n">
        <f aca="false">IF('SKU Catalog'!C16="","",'SKU Catalog'!B16)</f>
        <v>800</v>
      </c>
      <c r="D19" s="16" t="n">
        <f aca="false">IF(B19="","",MIN($I$5,'SKU Catalog'!D16))</f>
        <v>600</v>
      </c>
      <c r="E19" s="16" t="n">
        <f aca="false">IF(B19="","",B19-D19)</f>
        <v>1200</v>
      </c>
      <c r="F19" s="16" t="n">
        <f aca="false">IF(B19="","",$G$5+E19)</f>
        <v>1680</v>
      </c>
      <c r="G19" s="16" t="n">
        <f aca="false">IF(B19="","",B19-F19)</f>
        <v>120</v>
      </c>
      <c r="H19" s="29" t="n">
        <f aca="false">IF(B19="","",$G$5+(E19-C19))</f>
        <v>880</v>
      </c>
      <c r="I19" s="21" t="str">
        <f aca="false">IF(B19="","",IF(AND(E19&gt;=C19,G19&gt;0),"YES","CHECK"))</f>
        <v>YES</v>
      </c>
    </row>
    <row r="20" customFormat="false" ht="15" hidden="false" customHeight="false" outlineLevel="0" collapsed="false">
      <c r="A20" s="28" t="str">
        <f aca="false">IF('SKU Catalog'!A17="","",'SKU Catalog'!A17)</f>
        <v>Network video recorder (NVR)</v>
      </c>
      <c r="B20" s="20" t="n">
        <f aca="false">IF('SKU Catalog'!C17="","",'SKU Catalog'!C17)</f>
        <v>1200</v>
      </c>
      <c r="C20" s="20" t="n">
        <f aca="false">IF('SKU Catalog'!C17="","",'SKU Catalog'!B17)</f>
        <v>500</v>
      </c>
      <c r="D20" s="16" t="n">
        <f aca="false">IF(B20="","",MIN($I$5,'SKU Catalog'!D17))</f>
        <v>600</v>
      </c>
      <c r="E20" s="16" t="n">
        <f aca="false">IF(B20="","",B20-D20)</f>
        <v>600</v>
      </c>
      <c r="F20" s="16" t="n">
        <f aca="false">IF(B20="","",$G$5+E20)</f>
        <v>1080</v>
      </c>
      <c r="G20" s="16" t="n">
        <f aca="false">IF(B20="","",B20-F20)</f>
        <v>120</v>
      </c>
      <c r="H20" s="29" t="n">
        <f aca="false">IF(B20="","",$G$5+(E20-C20))</f>
        <v>580</v>
      </c>
      <c r="I20" s="21" t="str">
        <f aca="false">IF(B20="","",IF(AND(E20&gt;=C20,G20&gt;0),"YES","CHECK"))</f>
        <v>YES</v>
      </c>
    </row>
    <row r="21" customFormat="false" ht="15" hidden="false" customHeight="false" outlineLevel="0" collapsed="false">
      <c r="A21" s="28" t="str">
        <f aca="false">IF('SKU Catalog'!A18="","",'SKU Catalog'!A18)</f>
        <v>4K security camera (each)</v>
      </c>
      <c r="B21" s="20" t="n">
        <f aca="false">IF('SKU Catalog'!C18="","",'SKU Catalog'!C18)</f>
        <v>350</v>
      </c>
      <c r="C21" s="20" t="n">
        <f aca="false">IF('SKU Catalog'!C18="","",'SKU Catalog'!B18)</f>
        <v>120</v>
      </c>
      <c r="D21" s="16" t="n">
        <f aca="false">IF(B21="","",MIN($I$5,'SKU Catalog'!D18))</f>
        <v>230</v>
      </c>
      <c r="E21" s="16" t="n">
        <f aca="false">IF(B21="","",B21-D21)</f>
        <v>120</v>
      </c>
      <c r="F21" s="16" t="n">
        <f aca="false">IF(B21="","",$G$5+E21)</f>
        <v>600</v>
      </c>
      <c r="G21" s="16" t="n">
        <f aca="false">IF(B21="","",B21-F21)</f>
        <v>-250</v>
      </c>
      <c r="H21" s="29" t="n">
        <f aca="false">IF(B21="","",$G$5+(E21-C21))</f>
        <v>480</v>
      </c>
      <c r="I21" s="21" t="str">
        <f aca="false">IF(B21="","",IF(AND(E21&gt;=C21,G21&gt;0),"YES","CHECK"))</f>
        <v>CHECK</v>
      </c>
    </row>
    <row r="22" customFormat="false" ht="15" hidden="false" customHeight="false" outlineLevel="0" collapsed="false">
      <c r="A22" s="28" t="str">
        <f aca="false">IF('SKU Catalog'!A19="","",'SKU Catalog'!A19)</f>
        <v>WiFi-6 access point</v>
      </c>
      <c r="B22" s="20" t="n">
        <f aca="false">IF('SKU Catalog'!C19="","",'SKU Catalog'!C19)</f>
        <v>450</v>
      </c>
      <c r="C22" s="20" t="n">
        <f aca="false">IF('SKU Catalog'!C19="","",'SKU Catalog'!B19)</f>
        <v>180</v>
      </c>
      <c r="D22" s="16" t="n">
        <f aca="false">IF(B22="","",MIN($I$5,'SKU Catalog'!D19))</f>
        <v>270</v>
      </c>
      <c r="E22" s="16" t="n">
        <f aca="false">IF(B22="","",B22-D22)</f>
        <v>180</v>
      </c>
      <c r="F22" s="16" t="n">
        <f aca="false">IF(B22="","",$G$5+E22)</f>
        <v>660</v>
      </c>
      <c r="G22" s="16" t="n">
        <f aca="false">IF(B22="","",B22-F22)</f>
        <v>-210</v>
      </c>
      <c r="H22" s="29" t="n">
        <f aca="false">IF(B22="","",$G$5+(E22-C22))</f>
        <v>480</v>
      </c>
      <c r="I22" s="21" t="str">
        <f aca="false">IF(B22="","",IF(AND(E22&gt;=C22,G22&gt;0),"YES","CHECK"))</f>
        <v>CHECK</v>
      </c>
    </row>
    <row r="23" customFormat="false" ht="15" hidden="false" customHeight="false" outlineLevel="0" collapsed="false">
      <c r="A23" s="28" t="str">
        <f aca="false">IF('SKU Catalog'!A20="","",'SKU Catalog'!A20)</f>
        <v>Managed switch (24-port)</v>
      </c>
      <c r="B23" s="20" t="n">
        <f aca="false">IF('SKU Catalog'!C20="","",'SKU Catalog'!C20)</f>
        <v>800</v>
      </c>
      <c r="C23" s="20" t="n">
        <f aca="false">IF('SKU Catalog'!C20="","",'SKU Catalog'!B20)</f>
        <v>350</v>
      </c>
      <c r="D23" s="16" t="n">
        <f aca="false">IF(B23="","",MIN($I$5,'SKU Catalog'!D20))</f>
        <v>450</v>
      </c>
      <c r="E23" s="16" t="n">
        <f aca="false">IF(B23="","",B23-D23)</f>
        <v>350</v>
      </c>
      <c r="F23" s="16" t="n">
        <f aca="false">IF(B23="","",$G$5+E23)</f>
        <v>830</v>
      </c>
      <c r="G23" s="16" t="n">
        <f aca="false">IF(B23="","",B23-F23)</f>
        <v>-30</v>
      </c>
      <c r="H23" s="29" t="n">
        <f aca="false">IF(B23="","",$G$5+(E23-C23))</f>
        <v>480</v>
      </c>
      <c r="I23" s="21" t="str">
        <f aca="false">IF(B23="","",IF(AND(E23&gt;=C23,G23&gt;0),"YES","CHECK"))</f>
        <v>CHECK</v>
      </c>
    </row>
    <row r="24" customFormat="false" ht="15" hidden="false" customHeight="false" outlineLevel="0" collapsed="false">
      <c r="A24" s="28" t="str">
        <f aca="false">IF('SKU Catalog'!A21="","",'SKU Catalog'!A21)</f>
        <v>Smart-lighting hub</v>
      </c>
      <c r="B24" s="20" t="n">
        <f aca="false">IF('SKU Catalog'!C21="","",'SKU Catalog'!C21)</f>
        <v>750</v>
      </c>
      <c r="C24" s="20" t="n">
        <f aca="false">IF('SKU Catalog'!C21="","",'SKU Catalog'!B21)</f>
        <v>300</v>
      </c>
      <c r="D24" s="16" t="n">
        <f aca="false">IF(B24="","",MIN($I$5,'SKU Catalog'!D21))</f>
        <v>450</v>
      </c>
      <c r="E24" s="16" t="n">
        <f aca="false">IF(B24="","",B24-D24)</f>
        <v>300</v>
      </c>
      <c r="F24" s="16" t="n">
        <f aca="false">IF(B24="","",$G$5+E24)</f>
        <v>780</v>
      </c>
      <c r="G24" s="16" t="n">
        <f aca="false">IF(B24="","",B24-F24)</f>
        <v>-30</v>
      </c>
      <c r="H24" s="29" t="n">
        <f aca="false">IF(B24="","",$G$5+(E24-C24))</f>
        <v>480</v>
      </c>
      <c r="I24" s="21" t="str">
        <f aca="false">IF(B24="","",IF(AND(E24&gt;=C24,G24&gt;0),"YES","CHECK"))</f>
        <v>CHECK</v>
      </c>
    </row>
    <row r="25" customFormat="false" ht="15" hidden="false" customHeight="false" outlineLevel="0" collapsed="false">
      <c r="A25" s="28" t="str">
        <f aca="false">IF('SKU Catalog'!A22="","",'SKU Catalog'!A22)</f>
        <v>Motorized shades (per window)</v>
      </c>
      <c r="B25" s="20" t="n">
        <f aca="false">IF('SKU Catalog'!C22="","",'SKU Catalog'!C22)</f>
        <v>1000</v>
      </c>
      <c r="C25" s="20" t="n">
        <f aca="false">IF('SKU Catalog'!C22="","",'SKU Catalog'!B22)</f>
        <v>400</v>
      </c>
      <c r="D25" s="16" t="n">
        <f aca="false">IF(B25="","",MIN($I$5,'SKU Catalog'!D22))</f>
        <v>600</v>
      </c>
      <c r="E25" s="16" t="n">
        <f aca="false">IF(B25="","",B25-D25)</f>
        <v>400</v>
      </c>
      <c r="F25" s="16" t="n">
        <f aca="false">IF(B25="","",$G$5+E25)</f>
        <v>880</v>
      </c>
      <c r="G25" s="16" t="n">
        <f aca="false">IF(B25="","",B25-F25)</f>
        <v>120</v>
      </c>
      <c r="H25" s="29" t="n">
        <f aca="false">IF(B25="","",$G$5+(E25-C25))</f>
        <v>480</v>
      </c>
      <c r="I25" s="21" t="str">
        <f aca="false">IF(B25="","",IF(AND(E25&gt;=C25,G25&gt;0),"YES","CHECK"))</f>
        <v>YES</v>
      </c>
    </row>
    <row r="26" customFormat="false" ht="15" hidden="false" customHeight="false" outlineLevel="0" collapsed="false">
      <c r="A26" s="28" t="str">
        <f aca="false">IF('SKU Catalog'!A23="","",'SKU Catalog'!A23)</f>
        <v>Touchscreen wall controller 10"</v>
      </c>
      <c r="B26" s="20" t="n">
        <f aca="false">IF('SKU Catalog'!C23="","",'SKU Catalog'!C23)</f>
        <v>1400</v>
      </c>
      <c r="C26" s="20" t="n">
        <f aca="false">IF('SKU Catalog'!C23="","",'SKU Catalog'!B23)</f>
        <v>600</v>
      </c>
      <c r="D26" s="16" t="n">
        <f aca="false">IF(B26="","",MIN($I$5,'SKU Catalog'!D23))</f>
        <v>600</v>
      </c>
      <c r="E26" s="16" t="n">
        <f aca="false">IF(B26="","",B26-D26)</f>
        <v>800</v>
      </c>
      <c r="F26" s="16" t="n">
        <f aca="false">IF(B26="","",$G$5+E26)</f>
        <v>1280</v>
      </c>
      <c r="G26" s="16" t="n">
        <f aca="false">IF(B26="","",B26-F26)</f>
        <v>120</v>
      </c>
      <c r="H26" s="29" t="n">
        <f aca="false">IF(B26="","",$G$5+(E26-C26))</f>
        <v>680</v>
      </c>
      <c r="I26" s="21" t="str">
        <f aca="false">IF(B26="","",IF(AND(E26&gt;=C26,G26&gt;0),"YES","CHECK"))</f>
        <v>YES</v>
      </c>
    </row>
    <row r="28" customFormat="false" ht="15" hidden="false" customHeight="false" outlineLevel="0" collapsed="false">
      <c r="A28" s="18" t="s">
        <v>99</v>
      </c>
      <c r="B28" s="18"/>
      <c r="C28" s="18"/>
      <c r="D28" s="18"/>
      <c r="E28" s="18"/>
      <c r="F28" s="18"/>
      <c r="G28" s="18"/>
      <c r="H28" s="18"/>
      <c r="I28" s="18"/>
    </row>
    <row r="29" customFormat="false" ht="15" hidden="false" customHeight="false" outlineLevel="0" collapsed="false">
      <c r="A29" s="18" t="s">
        <v>100</v>
      </c>
      <c r="B29" s="18"/>
      <c r="C29" s="18"/>
      <c r="D29" s="18"/>
      <c r="E29" s="18"/>
      <c r="F29" s="18"/>
      <c r="G29" s="18"/>
      <c r="H29" s="18"/>
      <c r="I29" s="18"/>
    </row>
  </sheetData>
  <mergeCells count="7">
    <mergeCell ref="A1:I1"/>
    <mergeCell ref="A2:I2"/>
    <mergeCell ref="A4:I4"/>
    <mergeCell ref="B5:C5"/>
    <mergeCell ref="A7:I7"/>
    <mergeCell ref="A28:I28"/>
    <mergeCell ref="A29:I29"/>
  </mergeCells>
  <conditionalFormatting sqref="I9:I26">
    <cfRule type="expression" priority="2" aboveAverage="0" equalAverage="0" bottom="0" percent="0" rank="0" text="" dxfId="0">
      <formula>$I9="YES"</formula>
    </cfRule>
    <cfRule type="expression" priority="3" aboveAverage="0" equalAverage="0" bottom="0" percent="0" rank="0" text="" dxfId="2">
      <formula>$I9="CHECK"</formula>
    </cfRule>
  </conditionalFormatting>
  <conditionalFormatting sqref="G9:G26">
    <cfRule type="cellIs" priority="4" operator="lessThan" aboveAverage="0" equalAverage="0" bottom="0" percent="0" rank="0" text="" dxfId="3">
      <formula>0</formula>
    </cfRule>
  </conditionalFormatting>
  <dataValidations count="1">
    <dataValidation allowBlank="false" errorStyle="stop" operator="between" showDropDown="false" showErrorMessage="false" showInputMessage="false" sqref="B5" type="list">
      <formula1>Assumptions!$A$14:$A$17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9"/>
  </cols>
  <sheetData>
    <row r="1" customFormat="false" ht="27.75" hidden="false" customHeight="true" outlineLevel="0" collapsed="false">
      <c r="A1" s="1" t="s">
        <v>101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102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5" t="s">
        <v>103</v>
      </c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25" t="s">
        <v>86</v>
      </c>
      <c r="B5" s="26" t="s">
        <v>44</v>
      </c>
      <c r="C5" s="26"/>
      <c r="D5" s="27" t="s">
        <v>89</v>
      </c>
      <c r="E5" s="20" t="n">
        <f aca="false">VLOOKUP($B$5,Assumptions!$A$14:$D$17,4,FALSE())</f>
        <v>600</v>
      </c>
      <c r="F5" s="27" t="s">
        <v>88</v>
      </c>
      <c r="G5" s="20" t="n">
        <f aca="false">VLOOKUP($B$5,Assumptions!$A$14:$D$17,3,FALSE())</f>
        <v>480</v>
      </c>
    </row>
    <row r="7" customFormat="false" ht="19.5" hidden="false" customHeight="true" outlineLevel="0" collapsed="false">
      <c r="A7" s="5" t="s">
        <v>104</v>
      </c>
      <c r="B7" s="5"/>
      <c r="C7" s="5"/>
      <c r="D7" s="5"/>
      <c r="E7" s="5"/>
      <c r="F7" s="5"/>
      <c r="G7" s="5"/>
    </row>
    <row r="8" customFormat="false" ht="31.5" hidden="false" customHeight="true" outlineLevel="0" collapsed="false">
      <c r="A8" s="14" t="s">
        <v>105</v>
      </c>
      <c r="B8" s="14" t="s">
        <v>106</v>
      </c>
      <c r="C8" s="14" t="s">
        <v>107</v>
      </c>
      <c r="D8" s="14" t="s">
        <v>108</v>
      </c>
      <c r="E8" s="14" t="s">
        <v>109</v>
      </c>
      <c r="F8" s="14" t="s">
        <v>110</v>
      </c>
      <c r="G8" s="14" t="s">
        <v>111</v>
      </c>
    </row>
    <row r="9" customFormat="false" ht="15" hidden="false" customHeight="false" outlineLevel="0" collapsed="false">
      <c r="A9" s="21" t="s">
        <v>112</v>
      </c>
      <c r="B9" s="16" t="n">
        <f aca="false">$G$5*1</f>
        <v>480</v>
      </c>
      <c r="C9" s="16" t="n">
        <f aca="false">$E$5</f>
        <v>600</v>
      </c>
      <c r="D9" s="16" t="n">
        <f aca="false">$E$5*Assumptions!$B$8</f>
        <v>1200</v>
      </c>
      <c r="E9" s="29" t="n">
        <f aca="false">MIN(C9,D9)</f>
        <v>600</v>
      </c>
      <c r="F9" s="17" t="n">
        <f aca="false">E9/B9</f>
        <v>1.25</v>
      </c>
      <c r="G9" s="30" t="str">
        <f aca="false">IF(C9&gt;D9,"Capped","Growing")</f>
        <v>Growing</v>
      </c>
    </row>
    <row r="10" customFormat="false" ht="15" hidden="false" customHeight="false" outlineLevel="0" collapsed="false">
      <c r="A10" s="21" t="s">
        <v>113</v>
      </c>
      <c r="B10" s="16" t="n">
        <f aca="false">$G$5*2</f>
        <v>960</v>
      </c>
      <c r="C10" s="16" t="n">
        <f aca="false">C9+Assumptions!$B$7</f>
        <v>900</v>
      </c>
      <c r="D10" s="16" t="n">
        <f aca="false">$E$5*Assumptions!$B$8</f>
        <v>1200</v>
      </c>
      <c r="E10" s="29" t="n">
        <f aca="false">MIN(C10,D10)</f>
        <v>900</v>
      </c>
      <c r="F10" s="17" t="n">
        <f aca="false">E10/B10</f>
        <v>0.9375</v>
      </c>
      <c r="G10" s="30" t="str">
        <f aca="false">IF(C10&gt;D10,"Capped","Growing")</f>
        <v>Growing</v>
      </c>
    </row>
    <row r="11" customFormat="false" ht="15" hidden="false" customHeight="false" outlineLevel="0" collapsed="false">
      <c r="A11" s="21" t="s">
        <v>114</v>
      </c>
      <c r="B11" s="16" t="n">
        <f aca="false">$G$5*3</f>
        <v>1440</v>
      </c>
      <c r="C11" s="16" t="n">
        <f aca="false">C10+Assumptions!$B$7</f>
        <v>1200</v>
      </c>
      <c r="D11" s="16" t="n">
        <f aca="false">$E$5*Assumptions!$B$8</f>
        <v>1200</v>
      </c>
      <c r="E11" s="29" t="n">
        <f aca="false">MIN(C11,D11)</f>
        <v>1200</v>
      </c>
      <c r="F11" s="17" t="n">
        <f aca="false">E11/B11</f>
        <v>0.833333333333333</v>
      </c>
      <c r="G11" s="30" t="str">
        <f aca="false">IF(C11&gt;D11,"Capped","Growing")</f>
        <v>Growing</v>
      </c>
    </row>
    <row r="12" customFormat="false" ht="15" hidden="false" customHeight="false" outlineLevel="0" collapsed="false">
      <c r="A12" s="21" t="s">
        <v>115</v>
      </c>
      <c r="B12" s="16" t="n">
        <f aca="false">$G$5*4</f>
        <v>1920</v>
      </c>
      <c r="C12" s="16" t="n">
        <f aca="false">C11+Assumptions!$B$7</f>
        <v>1500</v>
      </c>
      <c r="D12" s="16" t="n">
        <f aca="false">$E$5*Assumptions!$B$8</f>
        <v>1200</v>
      </c>
      <c r="E12" s="29" t="n">
        <f aca="false">MIN(C12,D12)</f>
        <v>1200</v>
      </c>
      <c r="F12" s="17" t="n">
        <f aca="false">E12/B12</f>
        <v>0.625</v>
      </c>
      <c r="G12" s="30" t="str">
        <f aca="false">IF(C12&gt;D12,"Capped","Growing")</f>
        <v>Capped</v>
      </c>
    </row>
    <row r="13" customFormat="false" ht="15" hidden="false" customHeight="false" outlineLevel="0" collapsed="false">
      <c r="A13" s="21" t="s">
        <v>116</v>
      </c>
      <c r="B13" s="16" t="n">
        <f aca="false">$G$5*5</f>
        <v>2400</v>
      </c>
      <c r="C13" s="16" t="n">
        <f aca="false">C12+Assumptions!$B$7</f>
        <v>1800</v>
      </c>
      <c r="D13" s="16" t="n">
        <f aca="false">$E$5*Assumptions!$B$8</f>
        <v>1200</v>
      </c>
      <c r="E13" s="29" t="n">
        <f aca="false">MIN(C13,D13)</f>
        <v>1200</v>
      </c>
      <c r="F13" s="17" t="n">
        <f aca="false">E13/B13</f>
        <v>0.5</v>
      </c>
      <c r="G13" s="30" t="str">
        <f aca="false">IF(C13&gt;D13,"Capped","Growing")</f>
        <v>Capped</v>
      </c>
    </row>
    <row r="15" customFormat="false" ht="15" hidden="false" customHeight="false" outlineLevel="0" collapsed="false">
      <c r="A15" s="18" t="s">
        <v>117</v>
      </c>
      <c r="B15" s="18"/>
      <c r="C15" s="18"/>
      <c r="D15" s="18"/>
      <c r="E15" s="18"/>
      <c r="F15" s="18"/>
      <c r="G15" s="18"/>
    </row>
  </sheetData>
  <mergeCells count="6">
    <mergeCell ref="A1:G1"/>
    <mergeCell ref="A2:G2"/>
    <mergeCell ref="A4:G4"/>
    <mergeCell ref="B5:C5"/>
    <mergeCell ref="A7:G7"/>
    <mergeCell ref="A15:G15"/>
  </mergeCells>
  <conditionalFormatting sqref="G9:G13">
    <cfRule type="expression" priority="2" aboveAverage="0" equalAverage="0" bottom="0" percent="0" rank="0" text="" dxfId="1">
      <formula>$G9="Capped"</formula>
    </cfRule>
  </conditionalFormatting>
  <dataValidations count="1">
    <dataValidation allowBlank="false" errorStyle="stop" operator="between" showDropDown="false" showErrorMessage="false" showInputMessage="false" sqref="B5" type="list">
      <formula1>Assumptions!$A$14:$A$17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119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5" t="s">
        <v>120</v>
      </c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9" t="s">
        <v>121</v>
      </c>
      <c r="B5" s="9"/>
      <c r="C5" s="9"/>
      <c r="D5" s="9"/>
      <c r="E5" s="31" t="n">
        <v>100</v>
      </c>
    </row>
    <row r="6" customFormat="false" ht="15" hidden="false" customHeight="false" outlineLevel="0" collapsed="false">
      <c r="A6" s="9" t="s">
        <v>122</v>
      </c>
      <c r="B6" s="9"/>
      <c r="C6" s="9"/>
      <c r="D6" s="9"/>
      <c r="E6" s="12" t="n">
        <v>50</v>
      </c>
    </row>
    <row r="7" customFormat="false" ht="15" hidden="false" customHeight="false" outlineLevel="0" collapsed="false">
      <c r="A7" s="9" t="s">
        <v>123</v>
      </c>
      <c r="B7" s="9"/>
      <c r="C7" s="9"/>
      <c r="D7" s="9"/>
      <c r="E7" s="32" t="n">
        <v>3</v>
      </c>
    </row>
    <row r="8" customFormat="false" ht="15" hidden="false" customHeight="false" outlineLevel="0" collapsed="false">
      <c r="A8" s="9" t="s">
        <v>124</v>
      </c>
      <c r="B8" s="9"/>
      <c r="C8" s="9"/>
      <c r="D8" s="9"/>
      <c r="E8" s="12" t="n">
        <v>600</v>
      </c>
    </row>
    <row r="9" customFormat="false" ht="15" hidden="false" customHeight="false" outlineLevel="0" collapsed="false">
      <c r="A9" s="9" t="s">
        <v>125</v>
      </c>
      <c r="B9" s="9"/>
      <c r="C9" s="9"/>
      <c r="D9" s="9"/>
      <c r="E9" s="12" t="n">
        <v>75</v>
      </c>
    </row>
    <row r="10" customFormat="false" ht="15" hidden="false" customHeight="false" outlineLevel="0" collapsed="false">
      <c r="A10" s="9" t="s">
        <v>126</v>
      </c>
      <c r="B10" s="9"/>
      <c r="C10" s="9"/>
      <c r="D10" s="9"/>
      <c r="E10" s="12" t="n">
        <v>60</v>
      </c>
    </row>
    <row r="12" customFormat="false" ht="19.5" hidden="false" customHeight="true" outlineLevel="0" collapsed="false">
      <c r="A12" s="5" t="s">
        <v>127</v>
      </c>
      <c r="B12" s="5"/>
      <c r="C12" s="5"/>
      <c r="D12" s="5"/>
      <c r="E12" s="5"/>
      <c r="F12" s="5"/>
      <c r="G12" s="5"/>
    </row>
    <row r="13" customFormat="false" ht="15" hidden="false" customHeight="false" outlineLevel="0" collapsed="false">
      <c r="A13" s="6" t="s">
        <v>128</v>
      </c>
      <c r="B13" s="6"/>
      <c r="C13" s="6"/>
      <c r="D13" s="6"/>
      <c r="E13" s="7" t="s">
        <v>25</v>
      </c>
      <c r="F13" s="8" t="s">
        <v>60</v>
      </c>
      <c r="G13" s="8"/>
    </row>
    <row r="14" customFormat="false" ht="15" hidden="false" customHeight="false" outlineLevel="0" collapsed="false">
      <c r="A14" s="33" t="s">
        <v>129</v>
      </c>
      <c r="B14" s="33"/>
      <c r="C14" s="33"/>
      <c r="D14" s="33"/>
      <c r="E14" s="16" t="n">
        <f aca="false">$E$5*$E$6*12</f>
        <v>60000</v>
      </c>
      <c r="F14" s="34" t="s">
        <v>130</v>
      </c>
      <c r="G14" s="34"/>
    </row>
    <row r="15" customFormat="false" ht="15" hidden="false" customHeight="false" outlineLevel="0" collapsed="false">
      <c r="A15" s="33" t="s">
        <v>131</v>
      </c>
      <c r="B15" s="33"/>
      <c r="C15" s="33"/>
      <c r="D15" s="33"/>
      <c r="E15" s="35" t="n">
        <f aca="false">$E$5/$E$7</f>
        <v>33.3333333333333</v>
      </c>
      <c r="F15" s="34" t="s">
        <v>132</v>
      </c>
      <c r="G15" s="34"/>
    </row>
    <row r="16" customFormat="false" ht="15" hidden="false" customHeight="false" outlineLevel="0" collapsed="false">
      <c r="A16" s="33" t="s">
        <v>133</v>
      </c>
      <c r="B16" s="33"/>
      <c r="C16" s="33"/>
      <c r="D16" s="33"/>
      <c r="E16" s="16" t="n">
        <f aca="false">($E$5/$E$7)*$E$9</f>
        <v>2500</v>
      </c>
      <c r="F16" s="34" t="s">
        <v>134</v>
      </c>
      <c r="G16" s="34"/>
    </row>
    <row r="17" customFormat="false" ht="15" hidden="false" customHeight="false" outlineLevel="0" collapsed="false">
      <c r="A17" s="33" t="s">
        <v>135</v>
      </c>
      <c r="B17" s="33"/>
      <c r="C17" s="33"/>
      <c r="D17" s="33"/>
      <c r="E17" s="16" t="n">
        <f aca="false">$E$5*$E$10</f>
        <v>6000</v>
      </c>
      <c r="F17" s="34" t="s">
        <v>136</v>
      </c>
      <c r="G17" s="34"/>
    </row>
    <row r="18" customFormat="false" ht="15" hidden="false" customHeight="false" outlineLevel="0" collapsed="false">
      <c r="A18" s="36" t="s">
        <v>137</v>
      </c>
      <c r="B18" s="36"/>
      <c r="C18" s="36"/>
      <c r="D18" s="36"/>
      <c r="E18" s="37" t="n">
        <f aca="false">$E$5*$E$6*12+($E$5/$E$7)*$E$9-$E$5*$E$10</f>
        <v>56500</v>
      </c>
      <c r="F18" s="34" t="s">
        <v>138</v>
      </c>
      <c r="G18" s="34"/>
    </row>
    <row r="19" customFormat="false" ht="15" hidden="false" customHeight="false" outlineLevel="0" collapsed="false">
      <c r="A19" s="33" t="s">
        <v>139</v>
      </c>
      <c r="B19" s="33"/>
      <c r="C19" s="33"/>
      <c r="D19" s="33"/>
      <c r="E19" s="16" t="n">
        <f aca="false">$E$18/$E$5</f>
        <v>565</v>
      </c>
      <c r="F19" s="34" t="s">
        <v>140</v>
      </c>
      <c r="G19" s="34"/>
    </row>
    <row r="20" customFormat="false" ht="15" hidden="false" customHeight="false" outlineLevel="0" collapsed="false">
      <c r="A20" s="33" t="s">
        <v>141</v>
      </c>
      <c r="B20" s="33"/>
      <c r="C20" s="33"/>
      <c r="D20" s="33"/>
      <c r="E20" s="17" t="n">
        <f aca="false">$E$18/($E$5*$E$6*12)</f>
        <v>0.941666666666667</v>
      </c>
      <c r="F20" s="34" t="s">
        <v>142</v>
      </c>
      <c r="G20" s="34"/>
    </row>
    <row r="22" customFormat="false" ht="19.5" hidden="false" customHeight="true" outlineLevel="0" collapsed="false">
      <c r="A22" s="5" t="s">
        <v>143</v>
      </c>
      <c r="B22" s="5"/>
      <c r="C22" s="5"/>
      <c r="D22" s="5"/>
      <c r="E22" s="5"/>
      <c r="F22" s="5"/>
      <c r="G22" s="5"/>
    </row>
    <row r="23" customFormat="false" ht="25.5" hidden="false" customHeight="true" outlineLevel="0" collapsed="false">
      <c r="A23" s="14" t="s">
        <v>144</v>
      </c>
      <c r="B23" s="14" t="s">
        <v>145</v>
      </c>
      <c r="C23" s="14" t="s">
        <v>146</v>
      </c>
    </row>
    <row r="24" customFormat="false" ht="15" hidden="false" customHeight="false" outlineLevel="0" collapsed="false">
      <c r="A24" s="38" t="n">
        <v>1</v>
      </c>
      <c r="B24" s="16" t="n">
        <f aca="false">$E$5*$E$6*12+($E$5/A24)*$E$9-$E$5*$E$10</f>
        <v>61500</v>
      </c>
      <c r="C24" s="16" t="n">
        <f aca="false">B24/$E$5</f>
        <v>615</v>
      </c>
    </row>
    <row r="25" customFormat="false" ht="15" hidden="false" customHeight="false" outlineLevel="0" collapsed="false">
      <c r="A25" s="38" t="n">
        <v>2</v>
      </c>
      <c r="B25" s="16" t="n">
        <f aca="false">$E$5*$E$6*12+($E$5/A25)*$E$9-$E$5*$E$10</f>
        <v>57750</v>
      </c>
      <c r="C25" s="16" t="n">
        <f aca="false">B25/$E$5</f>
        <v>577.5</v>
      </c>
    </row>
    <row r="26" customFormat="false" ht="15" hidden="false" customHeight="false" outlineLevel="0" collapsed="false">
      <c r="A26" s="38" t="n">
        <v>3</v>
      </c>
      <c r="B26" s="16" t="n">
        <f aca="false">$E$5*$E$6*12+($E$5/A26)*$E$9-$E$5*$E$10</f>
        <v>56500</v>
      </c>
      <c r="C26" s="16" t="n">
        <f aca="false">B26/$E$5</f>
        <v>565</v>
      </c>
    </row>
    <row r="27" customFormat="false" ht="15" hidden="false" customHeight="false" outlineLevel="0" collapsed="false">
      <c r="A27" s="38" t="n">
        <v>4</v>
      </c>
      <c r="B27" s="16" t="n">
        <f aca="false">$E$5*$E$6*12+($E$5/A27)*$E$9-$E$5*$E$10</f>
        <v>55875</v>
      </c>
      <c r="C27" s="16" t="n">
        <f aca="false">B27/$E$5</f>
        <v>558.75</v>
      </c>
    </row>
    <row r="28" customFormat="false" ht="15" hidden="false" customHeight="false" outlineLevel="0" collapsed="false">
      <c r="A28" s="38" t="n">
        <v>5</v>
      </c>
      <c r="B28" s="16" t="n">
        <f aca="false">$E$5*$E$6*12+($E$5/A28)*$E$9-$E$5*$E$10</f>
        <v>55500</v>
      </c>
      <c r="C28" s="16" t="n">
        <f aca="false">B28/$E$5</f>
        <v>555</v>
      </c>
    </row>
    <row r="30" customFormat="false" ht="27.75" hidden="false" customHeight="true" outlineLevel="0" collapsed="false">
      <c r="A30" s="39" t="s">
        <v>147</v>
      </c>
      <c r="B30" s="39"/>
      <c r="C30" s="39"/>
      <c r="D30" s="39"/>
      <c r="E30" s="39"/>
      <c r="F30" s="39"/>
      <c r="G30" s="39"/>
    </row>
  </sheetData>
  <mergeCells count="28">
    <mergeCell ref="A1:G1"/>
    <mergeCell ref="A2:G2"/>
    <mergeCell ref="A4:G4"/>
    <mergeCell ref="A5:D5"/>
    <mergeCell ref="A6:D6"/>
    <mergeCell ref="A7:D7"/>
    <mergeCell ref="A8:D8"/>
    <mergeCell ref="A9:D9"/>
    <mergeCell ref="A10:D10"/>
    <mergeCell ref="A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2:G22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4"/>
    <col collapsed="false" customWidth="true" hidden="false" outlineLevel="0" max="4" min="4" style="0" width="40"/>
  </cols>
  <sheetData>
    <row r="1" customFormat="false" ht="27.75" hidden="false" customHeight="true" outlineLevel="0" collapsed="false">
      <c r="A1" s="1" t="s">
        <v>148</v>
      </c>
      <c r="B1" s="1"/>
      <c r="C1" s="1"/>
      <c r="D1" s="1"/>
    </row>
    <row r="2" customFormat="false" ht="15.75" hidden="false" customHeight="true" outlineLevel="0" collapsed="false">
      <c r="A2" s="2" t="s">
        <v>149</v>
      </c>
      <c r="B2" s="2"/>
      <c r="C2" s="2"/>
      <c r="D2" s="2"/>
    </row>
    <row r="4" customFormat="false" ht="19.5" hidden="false" customHeight="true" outlineLevel="0" collapsed="false">
      <c r="A4" s="5" t="s">
        <v>150</v>
      </c>
      <c r="B4" s="5"/>
      <c r="C4" s="5"/>
      <c r="D4" s="5"/>
    </row>
    <row r="5" customFormat="false" ht="24" hidden="false" customHeight="true" outlineLevel="0" collapsed="false">
      <c r="A5" s="40" t="s">
        <v>151</v>
      </c>
      <c r="B5" s="40" t="s">
        <v>152</v>
      </c>
      <c r="C5" s="40" t="s">
        <v>153</v>
      </c>
      <c r="D5" s="40" t="s">
        <v>154</v>
      </c>
    </row>
    <row r="6" customFormat="false" ht="33.75" hidden="false" customHeight="true" outlineLevel="0" collapsed="false">
      <c r="A6" s="41" t="s">
        <v>155</v>
      </c>
      <c r="B6" s="42" t="s">
        <v>156</v>
      </c>
      <c r="C6" s="43" t="s">
        <v>157</v>
      </c>
      <c r="D6" s="44" t="s">
        <v>158</v>
      </c>
    </row>
    <row r="7" customFormat="false" ht="33.75" hidden="false" customHeight="true" outlineLevel="0" collapsed="false">
      <c r="A7" s="41" t="s">
        <v>159</v>
      </c>
      <c r="B7" s="42" t="s">
        <v>160</v>
      </c>
      <c r="C7" s="43" t="s">
        <v>161</v>
      </c>
      <c r="D7" s="44" t="s">
        <v>162</v>
      </c>
    </row>
    <row r="8" customFormat="false" ht="33.75" hidden="false" customHeight="true" outlineLevel="0" collapsed="false">
      <c r="A8" s="41" t="s">
        <v>163</v>
      </c>
      <c r="B8" s="42" t="s">
        <v>164</v>
      </c>
      <c r="C8" s="43" t="s">
        <v>165</v>
      </c>
      <c r="D8" s="44" t="s">
        <v>166</v>
      </c>
    </row>
    <row r="9" customFormat="false" ht="33.75" hidden="false" customHeight="true" outlineLevel="0" collapsed="false">
      <c r="A9" s="41" t="s">
        <v>167</v>
      </c>
      <c r="B9" s="42" t="s">
        <v>168</v>
      </c>
      <c r="C9" s="43" t="s">
        <v>169</v>
      </c>
      <c r="D9" s="44" t="s">
        <v>170</v>
      </c>
    </row>
    <row r="10" customFormat="false" ht="33.75" hidden="false" customHeight="true" outlineLevel="0" collapsed="false">
      <c r="A10" s="41" t="s">
        <v>171</v>
      </c>
      <c r="B10" s="42" t="s">
        <v>172</v>
      </c>
      <c r="C10" s="43" t="s">
        <v>173</v>
      </c>
      <c r="D10" s="44" t="s">
        <v>174</v>
      </c>
    </row>
    <row r="11" customFormat="false" ht="33.75" hidden="false" customHeight="true" outlineLevel="0" collapsed="false">
      <c r="A11" s="41" t="s">
        <v>175</v>
      </c>
      <c r="B11" s="42" t="s">
        <v>176</v>
      </c>
      <c r="C11" s="43" t="s">
        <v>177</v>
      </c>
      <c r="D11" s="44" t="s">
        <v>178</v>
      </c>
    </row>
    <row r="12" customFormat="false" ht="33.75" hidden="false" customHeight="true" outlineLevel="0" collapsed="false">
      <c r="A12" s="41" t="s">
        <v>179</v>
      </c>
      <c r="B12" s="42" t="s">
        <v>180</v>
      </c>
      <c r="C12" s="43" t="s">
        <v>181</v>
      </c>
      <c r="D12" s="44" t="s">
        <v>182</v>
      </c>
    </row>
    <row r="13" customFormat="false" ht="33.75" hidden="false" customHeight="true" outlineLevel="0" collapsed="false">
      <c r="A13" s="41" t="s">
        <v>183</v>
      </c>
      <c r="B13" s="42" t="s">
        <v>184</v>
      </c>
      <c r="C13" s="43" t="s">
        <v>185</v>
      </c>
      <c r="D13" s="44" t="s">
        <v>186</v>
      </c>
    </row>
    <row r="14" customFormat="false" ht="33.75" hidden="false" customHeight="true" outlineLevel="0" collapsed="false">
      <c r="A14" s="41" t="s">
        <v>187</v>
      </c>
      <c r="B14" s="42" t="s">
        <v>188</v>
      </c>
      <c r="C14" s="43" t="s">
        <v>189</v>
      </c>
      <c r="D14" s="44" t="s">
        <v>190</v>
      </c>
    </row>
    <row r="16" customFormat="false" ht="30" hidden="false" customHeight="true" outlineLevel="0" collapsed="false">
      <c r="A16" s="45" t="s">
        <v>191</v>
      </c>
      <c r="B16" s="45"/>
      <c r="C16" s="45"/>
      <c r="D16" s="45"/>
    </row>
    <row r="18" customFormat="false" ht="15" hidden="false" customHeight="false" outlineLevel="0" collapsed="false">
      <c r="A18" s="46" t="s">
        <v>192</v>
      </c>
    </row>
  </sheetData>
  <mergeCells count="4">
    <mergeCell ref="A1:D1"/>
    <mergeCell ref="A2:D2"/>
    <mergeCell ref="A4:D4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2026-05-30T19:03:07Z</dcterms:created>
  <dc:creator>openpyxl</dc:creator>
  <dc:description/>
  <dc:language>en-US</dc:language>
  <cp:lastModifiedBy/>
  <dcterms:modified xsi:type="dcterms:W3CDTF">2026-05-30T19:03:07Z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